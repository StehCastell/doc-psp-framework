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Indicators" sheetId="2" state="visible" r:id="rId2"/>
    <sheet name="Analyses" sheetId="3" state="visible" r:id="rId3"/>
    <sheet name="Dashboards" sheetId="4" state="visible" r:id="rId4"/>
    <sheet name="Lists" sheetId="5" state="visible" r:id="rId5"/>
  </sheets>
  <definedNames>
    <definedName name="_xlnm._FilterDatabase" localSheetId="0" hidden="1">'Records'!$A$1:$P$1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4"/>
    </font>
    <font>
      <b val="1"/>
      <color rgb="001F4E78"/>
    </font>
    <font>
      <b val="1"/>
    </font>
    <font>
      <b val="1"/>
      <color rgb="001F4E78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dxfs count="3">
    <dxf>
      <font>
        <color rgb="009C0006"/>
      </font>
      <fill>
        <patternFill patternType="solid">
          <fgColor rgb="00FFC7CE"/>
        </patternFill>
      </fill>
    </dxf>
    <dxf>
      <fill>
        <patternFill patternType="solid">
          <fgColor rgb="00FFD9A0"/>
        </patternFill>
      </fill>
    </dxf>
    <dxf>
      <font>
        <color rgb="00006100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Completed Items by Sprint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'Analyses'!F4</f>
            </strRef>
          </tx>
          <spPr>
            <a:ln>
              <a:prstDash val="solid"/>
            </a:ln>
          </spPr>
          <cat>
            <numRef>
              <f>'Analyses'!$E$5:$E$16</f>
            </numRef>
          </cat>
          <val>
            <numRef>
              <f>'Analyses'!$F$5:$F$16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Distribution by Work Type</a:t>
            </a:r>
          </a:p>
        </rich>
      </tx>
    </title>
    <plotArea>
      <pieChart>
        <varyColors val="1"/>
        <ser>
          <idx val="0"/>
          <order val="0"/>
          <tx>
            <strRef>
              <f>'Analyses'!B4</f>
            </strRef>
          </tx>
          <spPr>
            <a:ln>
              <a:prstDash val="solid"/>
            </a:ln>
          </spPr>
          <cat>
            <numRef>
              <f>'Analyses'!$A$5:$A$12</f>
            </numRef>
          </cat>
          <val>
            <numRef>
              <f>'Analyses'!$B$5:$B$12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Productivity Trend (Monthly)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'Dashboards'!E4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'Dashboards'!$D$5:$D$16</f>
            </numRef>
          </cat>
          <val>
            <numRef>
              <f>'Dashboards'!$E$5:$E$16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Productivity by Owner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'Analyses'!C15</f>
            </strRef>
          </tx>
          <spPr>
            <a:ln>
              <a:prstDash val="solid"/>
            </a:ln>
          </spPr>
          <cat>
            <numRef>
              <f>'Analyses'!$A$16:$A$25</f>
            </numRef>
          </cat>
          <val>
            <numRef>
              <f>'Analyses'!$C$16:$C$25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Planned vs Worked Hours (Monthly)</a:t>
            </a:r>
          </a:p>
        </rich>
      </tx>
    </title>
    <plotArea>
      <areaChart>
        <grouping val="standard"/>
        <ser>
          <idx val="0"/>
          <order val="0"/>
          <tx>
            <strRef>
              <f>'Dashboards'!F4</f>
            </strRef>
          </tx>
          <spPr>
            <a:ln>
              <a:prstDash val="solid"/>
            </a:ln>
          </spPr>
          <cat>
            <numRef>
              <f>'Dashboards'!$D$5:$D$16</f>
            </numRef>
          </cat>
          <val>
            <numRef>
              <f>'Dashboards'!$F$5:$F$16</f>
            </numRef>
          </val>
        </ser>
        <ser>
          <idx val="1"/>
          <order val="1"/>
          <tx>
            <strRef>
              <f>'Dashboards'!G4</f>
            </strRef>
          </tx>
          <spPr>
            <a:ln>
              <a:prstDash val="solid"/>
            </a:ln>
          </spPr>
          <cat>
            <numRef>
              <f>'Dashboards'!$D$5:$D$16</f>
            </numRef>
          </cat>
          <val>
            <numRef>
              <f>'Dashboards'!$G$5:$G$16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50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10</row>
      <rowOff>0</rowOff>
    </from>
    <ext cx="396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26</row>
      <rowOff>0</rowOff>
    </from>
    <ext cx="540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8</col>
      <colOff>0</colOff>
      <row>26</row>
      <rowOff>0</rowOff>
    </from>
    <ext cx="5040000" cy="25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42</row>
      <rowOff>0</rowOff>
    </from>
    <ext cx="5760000" cy="252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0" customWidth="1" min="4" max="4"/>
    <col width="13" customWidth="1" min="5" max="5"/>
    <col width="24" customWidth="1" min="6" max="6"/>
    <col width="13" customWidth="1" min="7" max="7"/>
    <col width="13" customWidth="1" min="8" max="8"/>
    <col width="15" customWidth="1" min="9" max="9"/>
    <col width="14" customWidth="1" min="10" max="10"/>
    <col width="17" customWidth="1" min="11" max="11"/>
    <col width="15" customWidth="1" min="12" max="12"/>
    <col width="13" customWidth="1" min="13" max="13"/>
    <col width="13" customWidth="1" min="14" max="14"/>
    <col width="22" customWidth="1" min="15" max="15"/>
    <col width="13" customWidth="1" min="16" max="16"/>
  </cols>
  <sheetData>
    <row r="1" ht="30" customHeight="1">
      <c r="A1" s="1" t="inlineStr">
        <is>
          <t>ID</t>
        </is>
      </c>
      <c r="B1" s="1" t="inlineStr">
        <is>
          <t>Project</t>
        </is>
      </c>
      <c r="C1" s="1" t="inlineStr">
        <is>
          <t>Team</t>
        </is>
      </c>
      <c r="D1" s="1" t="inlineStr">
        <is>
          <t>Sprint / Iteration</t>
        </is>
      </c>
      <c r="E1" s="1" t="inlineStr">
        <is>
          <t>Date</t>
        </is>
      </c>
      <c r="F1" s="1" t="inlineStr">
        <is>
          <t>Activity / Deliverable</t>
        </is>
      </c>
      <c r="G1" s="1" t="inlineStr">
        <is>
          <t>Work Type</t>
        </is>
      </c>
      <c r="H1" s="1" t="inlineStr">
        <is>
          <t>Owner</t>
        </is>
      </c>
      <c r="I1" s="1" t="inlineStr">
        <is>
          <t>Planned Hours</t>
        </is>
      </c>
      <c r="J1" s="1" t="inlineStr">
        <is>
          <t>Worked Hours</t>
        </is>
      </c>
      <c r="K1" s="1" t="inlineStr">
        <is>
          <t>Completed Items</t>
        </is>
      </c>
      <c r="L1" s="1" t="inlineStr">
        <is>
          <t>Planned Items</t>
        </is>
      </c>
      <c r="M1" s="1" t="inlineStr">
        <is>
          <t>Rework</t>
        </is>
      </c>
      <c r="N1" s="1" t="inlineStr">
        <is>
          <t>Blockers</t>
        </is>
      </c>
      <c r="O1" s="1" t="inlineStr">
        <is>
          <t>Blockers Description</t>
        </is>
      </c>
      <c r="P1" s="1" t="inlineStr">
        <is>
          <t>Status</t>
        </is>
      </c>
    </row>
  </sheetData>
  <autoFilter ref="A1:P1"/>
  <conditionalFormatting sqref="N2:N500">
    <cfRule type="expression" priority="1" dxfId="0">
      <formula>EXACT($N2,"Yes")</formula>
    </cfRule>
  </conditionalFormatting>
  <conditionalFormatting sqref="M2:M500">
    <cfRule type="expression" priority="2" dxfId="1">
      <formula>EXACT($M2,"Yes")</formula>
    </cfRule>
  </conditionalFormatting>
  <conditionalFormatting sqref="P2:P500">
    <cfRule type="expression" priority="3" dxfId="2">
      <formula>EXACT($P2,"Completed")</formula>
    </cfRule>
  </conditionalFormatting>
  <dataValidations count="4">
    <dataValidation sqref="G2:G500" showDropDown="0" showInputMessage="0" showErrorMessage="0" allowBlank="1" type="list">
      <formula1>=Lists!$A$2:$A$9</formula1>
    </dataValidation>
    <dataValidation sqref="M2:M500" showDropDown="0" showInputMessage="0" showErrorMessage="0" allowBlank="1" type="list">
      <formula1>=Lists!$C$2:$C$3</formula1>
    </dataValidation>
    <dataValidation sqref="N2:N500" showDropDown="0" showInputMessage="0" showErrorMessage="0" allowBlank="1" type="list">
      <formula1>=Lists!$C$2:$C$3</formula1>
    </dataValidation>
    <dataValidation sqref="P2:P500" showDropDown="0" showInputMessage="0" showErrorMessage="0" allowBlank="1" type="list">
      <formula1>=Lists!$B$2:$B$4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6" customWidth="1" min="2" max="2"/>
  </cols>
  <sheetData>
    <row r="1">
      <c r="A1" s="2" t="inlineStr">
        <is>
          <t>Productivity Indicators</t>
        </is>
      </c>
    </row>
    <row r="2">
      <c r="A2" s="3" t="inlineStr">
        <is>
          <t>Indicators (KPIs)</t>
        </is>
      </c>
    </row>
    <row r="3">
      <c r="A3" s="4" t="inlineStr">
        <is>
          <t>Total Planned Hours</t>
        </is>
      </c>
      <c r="B3">
        <f>SUM(Records!I2:I500)</f>
        <v/>
      </c>
    </row>
    <row r="4">
      <c r="A4" s="4" t="inlineStr">
        <is>
          <t>Total Worked Hours</t>
        </is>
      </c>
      <c r="B4">
        <f>SUM(Records!J2:J500)</f>
        <v/>
      </c>
    </row>
    <row r="5">
      <c r="A5" s="4" t="inlineStr">
        <is>
          <t>Difference (Plan - Actual)</t>
        </is>
      </c>
      <c r="B5">
        <f>Indicators!B3-Indicators!B4</f>
        <v/>
      </c>
    </row>
    <row r="6">
      <c r="A6" s="4" t="inlineStr">
        <is>
          <t>Rework Rate (%)</t>
        </is>
      </c>
      <c r="B6">
        <f>IFERROR(COUNTIF(Records!M2:M500,"Yes")/COUNTA(Records!A2:A500)*100,"")</f>
        <v/>
      </c>
    </row>
    <row r="7">
      <c r="A7" s="4" t="inlineStr">
        <is>
          <t>Blockers Rate (%)</t>
        </is>
      </c>
      <c r="B7">
        <f>IFERROR(COUNTIF(Records!N2:N500,"Yes")/COUNTA(Records!A2:A500)*100,"")</f>
        <v/>
      </c>
    </row>
    <row r="8">
      <c r="A8" s="4" t="inlineStr">
        <is>
          <t>Total Completed Items</t>
        </is>
      </c>
      <c r="B8">
        <f>SUM(Records!K2:K500)</f>
        <v/>
      </c>
    </row>
    <row r="9">
      <c r="A9" s="4" t="inlineStr">
        <is>
          <t>Total Planned Items</t>
        </is>
      </c>
      <c r="B9">
        <f>SUM(Records!L2:L500)</f>
        <v/>
      </c>
    </row>
    <row r="10">
      <c r="A10" s="4" t="inlineStr">
        <is>
          <t>Efficiency (%) (Completed/Planned)</t>
        </is>
      </c>
      <c r="B10">
        <f>IFERROR(Indicators!B8/Indicators!B9*100,"")</f>
        <v/>
      </c>
    </row>
    <row r="11">
      <c r="A11" s="4" t="inlineStr">
        <is>
          <t>Average Deliveries per Day</t>
        </is>
      </c>
      <c r="B11">
        <f>IFERROR(Indicators!B8/SUMPRODUCT((Records!E2:E500&lt;&gt;"")/COUNTIF(Records!E2:E500,Records!E2:E500&amp;"")),"")</f>
        <v/>
      </c>
    </row>
    <row r="12">
      <c r="A12" s="4" t="inlineStr">
        <is>
          <t>Average Productivity (Items/Hour)</t>
        </is>
      </c>
      <c r="B12">
        <f>IFERROR(Indicators!B8/Indicators!B4,"")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22" customWidth="1" min="3" max="3"/>
    <col width="24" customWidth="1" min="5" max="5"/>
    <col width="14" customWidth="1" min="6" max="6"/>
  </cols>
  <sheetData>
    <row r="1">
      <c r="A1" s="2" t="inlineStr">
        <is>
          <t>Productivity Analyses</t>
        </is>
      </c>
    </row>
    <row r="3">
      <c r="A3" s="3" t="inlineStr">
        <is>
          <t>Productivity by Work Type</t>
        </is>
      </c>
      <c r="E3" s="3" t="inlineStr">
        <is>
          <t>Productivity by Sprint</t>
        </is>
      </c>
    </row>
    <row r="4">
      <c r="A4" s="4" t="inlineStr">
        <is>
          <t>Work Type</t>
        </is>
      </c>
      <c r="B4" s="4" t="inlineStr">
        <is>
          <t>Completed Items</t>
        </is>
      </c>
      <c r="E4" s="4" t="inlineStr">
        <is>
          <t>Sprint / Iteration</t>
        </is>
      </c>
      <c r="F4" s="4" t="inlineStr">
        <is>
          <t>Completed Items</t>
        </is>
      </c>
    </row>
    <row r="5">
      <c r="A5" t="inlineStr">
        <is>
          <t>Development</t>
        </is>
      </c>
      <c r="B5">
        <f>SUMIF(Records!G2:G500,$A5,Records!K2:K500)</f>
        <v/>
      </c>
      <c r="F5">
        <f>IF($E5="","",SUMIF(Records!D2:D500,$E5,Records!K2:K500))</f>
        <v/>
      </c>
    </row>
    <row r="6">
      <c r="A6" t="inlineStr">
        <is>
          <t>Testing</t>
        </is>
      </c>
      <c r="B6">
        <f>SUMIF(Records!G2:G500,$A6,Records!K2:K500)</f>
        <v/>
      </c>
      <c r="F6">
        <f>IF($E6="","",SUMIF(Records!D2:D500,$E6,Records!K2:K500))</f>
        <v/>
      </c>
    </row>
    <row r="7">
      <c r="A7" t="inlineStr">
        <is>
          <t>Meeting</t>
        </is>
      </c>
      <c r="B7">
        <f>SUMIF(Records!G2:G500,$A7,Records!K2:K500)</f>
        <v/>
      </c>
      <c r="F7">
        <f>IF($E7="","",SUMIF(Records!D2:D500,$E7,Records!K2:K500))</f>
        <v/>
      </c>
    </row>
    <row r="8">
      <c r="A8" t="inlineStr">
        <is>
          <t>Fixing</t>
        </is>
      </c>
      <c r="B8">
        <f>SUMIF(Records!G2:G500,$A8,Records!K2:K500)</f>
        <v/>
      </c>
      <c r="F8">
        <f>IF($E8="","",SUMIF(Records!D2:D500,$E8,Records!K2:K500))</f>
        <v/>
      </c>
    </row>
    <row r="9">
      <c r="A9" t="inlineStr">
        <is>
          <t>Analysis</t>
        </is>
      </c>
      <c r="B9">
        <f>SUMIF(Records!G2:G500,$A9,Records!K2:K500)</f>
        <v/>
      </c>
      <c r="F9">
        <f>IF($E9="","",SUMIF(Records!D2:D500,$E9,Records!K2:K500))</f>
        <v/>
      </c>
    </row>
    <row r="10">
      <c r="A10" t="inlineStr">
        <is>
          <t>Documentation</t>
        </is>
      </c>
      <c r="B10">
        <f>SUMIF(Records!G2:G500,$A10,Records!K2:K500)</f>
        <v/>
      </c>
      <c r="F10">
        <f>IF($E10="","",SUMIF(Records!D2:D500,$E10,Records!K2:K500))</f>
        <v/>
      </c>
    </row>
    <row r="11">
      <c r="A11" t="inlineStr">
        <is>
          <t>Support</t>
        </is>
      </c>
      <c r="B11">
        <f>SUMIF(Records!G2:G500,$A11,Records!K2:K500)</f>
        <v/>
      </c>
      <c r="F11">
        <f>IF($E11="","",SUMIF(Records!D2:D500,$E11,Records!K2:K500))</f>
        <v/>
      </c>
    </row>
    <row r="12">
      <c r="A12" t="inlineStr">
        <is>
          <t>Integration</t>
        </is>
      </c>
      <c r="B12">
        <f>SUMIF(Records!G2:G500,$A12,Records!K2:K500)</f>
        <v/>
      </c>
      <c r="F12">
        <f>IF($E12="","",SUMIF(Records!D2:D500,$E12,Records!K2:K500))</f>
        <v/>
      </c>
    </row>
    <row r="13">
      <c r="F13">
        <f>IF($E13="","",SUMIF(Records!D2:D500,$E13,Records!K2:K500))</f>
        <v/>
      </c>
    </row>
    <row r="14">
      <c r="A14" s="3" t="inlineStr">
        <is>
          <t>Productivity by Owner</t>
        </is>
      </c>
      <c r="F14">
        <f>IF($E14="","",SUMIF(Records!D2:D500,$E14,Records!K2:K500))</f>
        <v/>
      </c>
    </row>
    <row r="15">
      <c r="A15" s="4" t="inlineStr">
        <is>
          <t>Owner</t>
        </is>
      </c>
      <c r="B15" s="4" t="inlineStr">
        <is>
          <t>Completed Items</t>
        </is>
      </c>
      <c r="C15" s="4" t="inlineStr">
        <is>
          <t>Productivity (Items/Hour)</t>
        </is>
      </c>
      <c r="F15">
        <f>IF($E15="","",SUMIF(Records!D2:D500,$E15,Records!K2:K500))</f>
        <v/>
      </c>
    </row>
    <row r="16">
      <c r="B16">
        <f>IF($A16="","",SUMIF(Records!H2:H500,$A16,Records!K2:K500))</f>
        <v/>
      </c>
      <c r="C16">
        <f>IF($A16="","",IFERROR(SUMIF(Records!H2:H500,$A16,Records!K2:K500)/SUMIF(Records!H2:H500,$A16,Records!J2:J500),""))</f>
        <v/>
      </c>
      <c r="F16">
        <f>IF($E16="","",SUMIF(Records!D2:D500,$E16,Records!K2:K500))</f>
        <v/>
      </c>
    </row>
    <row r="17">
      <c r="B17">
        <f>IF($A17="","",SUMIF(Records!H2:H500,$A17,Records!K2:K500))</f>
        <v/>
      </c>
      <c r="C17">
        <f>IF($A17="","",IFERROR(SUMIF(Records!H2:H500,$A17,Records!K2:K500)/SUMIF(Records!H2:H500,$A17,Records!J2:J500),""))</f>
        <v/>
      </c>
    </row>
    <row r="18">
      <c r="B18">
        <f>IF($A18="","",SUMIF(Records!H2:H500,$A18,Records!K2:K500))</f>
        <v/>
      </c>
      <c r="C18">
        <f>IF($A18="","",IFERROR(SUMIF(Records!H2:H500,$A18,Records!K2:K500)/SUMIF(Records!H2:H500,$A18,Records!J2:J500),""))</f>
        <v/>
      </c>
      <c r="E18" s="3" t="inlineStr">
        <is>
          <t>Productivity by Team</t>
        </is>
      </c>
    </row>
    <row r="19">
      <c r="B19">
        <f>IF($A19="","",SUMIF(Records!H2:H500,$A19,Records!K2:K500))</f>
        <v/>
      </c>
      <c r="C19">
        <f>IF($A19="","",IFERROR(SUMIF(Records!H2:H500,$A19,Records!K2:K500)/SUMIF(Records!H2:H500,$A19,Records!J2:J500),""))</f>
        <v/>
      </c>
      <c r="E19" s="4" t="inlineStr">
        <is>
          <t>Team</t>
        </is>
      </c>
      <c r="F19" s="4" t="inlineStr">
        <is>
          <t>Completed Items</t>
        </is>
      </c>
    </row>
    <row r="20">
      <c r="B20">
        <f>IF($A20="","",SUMIF(Records!H2:H500,$A20,Records!K2:K500))</f>
        <v/>
      </c>
      <c r="C20">
        <f>IF($A20="","",IFERROR(SUMIF(Records!H2:H500,$A20,Records!K2:K500)/SUMIF(Records!H2:H500,$A20,Records!J2:J500),""))</f>
        <v/>
      </c>
      <c r="F20">
        <f>IF($E20="","",SUMIF(Records!C2:C500,$E20,Records!K2:K500))</f>
        <v/>
      </c>
    </row>
    <row r="21">
      <c r="B21">
        <f>IF($A21="","",SUMIF(Records!H2:H500,$A21,Records!K2:K500))</f>
        <v/>
      </c>
      <c r="C21">
        <f>IF($A21="","",IFERROR(SUMIF(Records!H2:H500,$A21,Records!K2:K500)/SUMIF(Records!H2:H500,$A21,Records!J2:J500),""))</f>
        <v/>
      </c>
      <c r="F21">
        <f>IF($E21="","",SUMIF(Records!C2:C500,$E21,Records!K2:K500))</f>
        <v/>
      </c>
    </row>
    <row r="22">
      <c r="B22">
        <f>IF($A22="","",SUMIF(Records!H2:H500,$A22,Records!K2:K500))</f>
        <v/>
      </c>
      <c r="C22">
        <f>IF($A22="","",IFERROR(SUMIF(Records!H2:H500,$A22,Records!K2:K500)/SUMIF(Records!H2:H500,$A22,Records!J2:J500),""))</f>
        <v/>
      </c>
      <c r="F22">
        <f>IF($E22="","",SUMIF(Records!C2:C500,$E22,Records!K2:K500))</f>
        <v/>
      </c>
    </row>
    <row r="23">
      <c r="B23">
        <f>IF($A23="","",SUMIF(Records!H2:H500,$A23,Records!K2:K500))</f>
        <v/>
      </c>
      <c r="C23">
        <f>IF($A23="","",IFERROR(SUMIF(Records!H2:H500,$A23,Records!K2:K500)/SUMIF(Records!H2:H500,$A23,Records!J2:J500),""))</f>
        <v/>
      </c>
      <c r="F23">
        <f>IF($E23="","",SUMIF(Records!C2:C500,$E23,Records!K2:K500))</f>
        <v/>
      </c>
    </row>
    <row r="24">
      <c r="B24">
        <f>IF($A24="","",SUMIF(Records!H2:H500,$A24,Records!K2:K500))</f>
        <v/>
      </c>
      <c r="C24">
        <f>IF($A24="","",IFERROR(SUMIF(Records!H2:H500,$A24,Records!K2:K500)/SUMIF(Records!H2:H500,$A24,Records!J2:J500),""))</f>
        <v/>
      </c>
      <c r="F24">
        <f>IF($E24="","",SUMIF(Records!C2:C500,$E24,Records!K2:K500))</f>
        <v/>
      </c>
    </row>
    <row r="25">
      <c r="B25">
        <f>IF($A25="","",SUMIF(Records!H2:H500,$A25,Records!K2:K500))</f>
        <v/>
      </c>
      <c r="C25">
        <f>IF($A25="","",IFERROR(SUMIF(Records!H2:H500,$A25,Records!K2:K500)/SUMIF(Records!H2:H500,$A25,Records!J2:J500),""))</f>
        <v/>
      </c>
      <c r="F25">
        <f>IF($E25="","",SUMIF(Records!C2:C500,$E25,Records!K2:K500))</f>
        <v/>
      </c>
    </row>
    <row r="26">
      <c r="F26">
        <f>IF($E26="","",SUMIF(Records!C2:C500,$E26,Records!K2:K500))</f>
        <v/>
      </c>
    </row>
    <row r="27">
      <c r="F27">
        <f>IF($E27="","",SUMIF(Records!C2:C500,$E27,Records!K2:K500))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5" customWidth="1" min="4" max="4"/>
    <col width="15" customWidth="1" min="5" max="5"/>
    <col width="15" customWidth="1" min="6" max="6"/>
    <col width="15" customWidth="1" min="7" max="7"/>
  </cols>
  <sheetData>
    <row r="1">
      <c r="A1" s="5" t="inlineStr">
        <is>
          <t>Productivity Dashboard</t>
        </is>
      </c>
    </row>
    <row r="3">
      <c r="A3" s="3" t="inlineStr">
        <is>
          <t>Indicators (KPIs)</t>
        </is>
      </c>
      <c r="D3" s="3" t="inlineStr">
        <is>
          <t>Productivity Trend (Monthly)</t>
        </is>
      </c>
    </row>
    <row r="4">
      <c r="A4" s="4" t="inlineStr">
        <is>
          <t>Total Worked Hours</t>
        </is>
      </c>
      <c r="B4">
        <f>Indicators!B4</f>
        <v/>
      </c>
      <c r="D4" s="4" t="inlineStr">
        <is>
          <t>Month</t>
        </is>
      </c>
      <c r="E4" s="4" t="inlineStr">
        <is>
          <t>Completed Items</t>
        </is>
      </c>
      <c r="F4" s="4" t="inlineStr">
        <is>
          <t>Planned Hours</t>
        </is>
      </c>
      <c r="G4" s="4" t="inlineStr">
        <is>
          <t>Worked Hours</t>
        </is>
      </c>
    </row>
    <row r="5">
      <c r="A5" s="4" t="inlineStr">
        <is>
          <t>Efficiency (%) (Completed/Planned)</t>
        </is>
      </c>
      <c r="B5">
        <f>Indicators!B10</f>
        <v/>
      </c>
      <c r="D5" t="inlineStr">
        <is>
          <t>2026-01</t>
        </is>
      </c>
      <c r="E5">
        <f>SUMIFS(Records!$K$2:$K$500,Records!$E$2:$E$500,"&gt;="&amp;DATE(2026,1,1),Records!$E$2:$E$500,"&lt;="&amp;DATE(2026,1,DAY(EOMONTH(DATE(2026,1,1),0))))</f>
        <v/>
      </c>
      <c r="F5">
        <f>SUMIFS(Records!$I$2:$I$500,Records!$E$2:$E$500,"&gt;="&amp;DATE(2026,1,1),Records!$E$2:$E$500,"&lt;="&amp;DATE(2026,1,DAY(EOMONTH(DATE(2026,1,1),0))))</f>
        <v/>
      </c>
      <c r="G5">
        <f>SUMIFS(Records!$J$2:$J$500,Records!$E$2:$E$500,"&gt;="&amp;DATE(2026,1,1),Records!$E$2:$E$500,"&lt;="&amp;DATE(2026,1,DAY(EOMONTH(DATE(2026,1,1),0))))</f>
        <v/>
      </c>
    </row>
    <row r="6">
      <c r="A6" s="4" t="inlineStr">
        <is>
          <t>Rework Rate (%)</t>
        </is>
      </c>
      <c r="B6">
        <f>Indicators!B6</f>
        <v/>
      </c>
      <c r="D6" t="inlineStr">
        <is>
          <t>2026-02</t>
        </is>
      </c>
      <c r="E6">
        <f>SUMIFS(Records!$K$2:$K$500,Records!$E$2:$E$500,"&gt;="&amp;DATE(2026,2,1),Records!$E$2:$E$500,"&lt;="&amp;DATE(2026,2,DAY(EOMONTH(DATE(2026,2,1),0))))</f>
        <v/>
      </c>
      <c r="F6">
        <f>SUMIFS(Records!$I$2:$I$500,Records!$E$2:$E$500,"&gt;="&amp;DATE(2026,2,1),Records!$E$2:$E$500,"&lt;="&amp;DATE(2026,2,DAY(EOMONTH(DATE(2026,2,1),0))))</f>
        <v/>
      </c>
      <c r="G6">
        <f>SUMIFS(Records!$J$2:$J$500,Records!$E$2:$E$500,"&gt;="&amp;DATE(2026,2,1),Records!$E$2:$E$500,"&lt;="&amp;DATE(2026,2,DAY(EOMONTH(DATE(2026,2,1),0))))</f>
        <v/>
      </c>
    </row>
    <row r="7">
      <c r="A7" s="4" t="inlineStr">
        <is>
          <t>Blockers Rate (%)</t>
        </is>
      </c>
      <c r="B7">
        <f>Indicators!B7</f>
        <v/>
      </c>
      <c r="D7" t="inlineStr">
        <is>
          <t>2026-03</t>
        </is>
      </c>
      <c r="E7">
        <f>SUMIFS(Records!$K$2:$K$500,Records!$E$2:$E$500,"&gt;="&amp;DATE(2026,3,1),Records!$E$2:$E$500,"&lt;="&amp;DATE(2026,3,DAY(EOMONTH(DATE(2026,3,1),0))))</f>
        <v/>
      </c>
      <c r="F7">
        <f>SUMIFS(Records!$I$2:$I$500,Records!$E$2:$E$500,"&gt;="&amp;DATE(2026,3,1),Records!$E$2:$E$500,"&lt;="&amp;DATE(2026,3,DAY(EOMONTH(DATE(2026,3,1),0))))</f>
        <v/>
      </c>
      <c r="G7">
        <f>SUMIFS(Records!$J$2:$J$500,Records!$E$2:$E$500,"&gt;="&amp;DATE(2026,3,1),Records!$E$2:$E$500,"&lt;="&amp;DATE(2026,3,DAY(EOMONTH(DATE(2026,3,1),0))))</f>
        <v/>
      </c>
    </row>
    <row r="8">
      <c r="A8" s="4" t="inlineStr">
        <is>
          <t>Average Productivity (Items/Hour)</t>
        </is>
      </c>
      <c r="B8">
        <f>Indicators!B12</f>
        <v/>
      </c>
      <c r="D8" t="inlineStr">
        <is>
          <t>2026-04</t>
        </is>
      </c>
      <c r="E8">
        <f>SUMIFS(Records!$K$2:$K$500,Records!$E$2:$E$500,"&gt;="&amp;DATE(2026,4,1),Records!$E$2:$E$500,"&lt;="&amp;DATE(2026,4,DAY(EOMONTH(DATE(2026,4,1),0))))</f>
        <v/>
      </c>
      <c r="F8">
        <f>SUMIFS(Records!$I$2:$I$500,Records!$E$2:$E$500,"&gt;="&amp;DATE(2026,4,1),Records!$E$2:$E$500,"&lt;="&amp;DATE(2026,4,DAY(EOMONTH(DATE(2026,4,1),0))))</f>
        <v/>
      </c>
      <c r="G8">
        <f>SUMIFS(Records!$J$2:$J$500,Records!$E$2:$E$500,"&gt;="&amp;DATE(2026,4,1),Records!$E$2:$E$500,"&lt;="&amp;DATE(2026,4,DAY(EOMONTH(DATE(2026,4,1),0))))</f>
        <v/>
      </c>
    </row>
    <row r="9">
      <c r="D9" t="inlineStr">
        <is>
          <t>2026-05</t>
        </is>
      </c>
      <c r="E9">
        <f>SUMIFS(Records!$K$2:$K$500,Records!$E$2:$E$500,"&gt;="&amp;DATE(2026,5,1),Records!$E$2:$E$500,"&lt;="&amp;DATE(2026,5,DAY(EOMONTH(DATE(2026,5,1),0))))</f>
        <v/>
      </c>
      <c r="F9">
        <f>SUMIFS(Records!$I$2:$I$500,Records!$E$2:$E$500,"&gt;="&amp;DATE(2026,5,1),Records!$E$2:$E$500,"&lt;="&amp;DATE(2026,5,DAY(EOMONTH(DATE(2026,5,1),0))))</f>
        <v/>
      </c>
      <c r="G9">
        <f>SUMIFS(Records!$J$2:$J$500,Records!$E$2:$E$500,"&gt;="&amp;DATE(2026,5,1),Records!$E$2:$E$500,"&lt;="&amp;DATE(2026,5,DAY(EOMONTH(DATE(2026,5,1),0))))</f>
        <v/>
      </c>
    </row>
    <row r="10">
      <c r="D10" t="inlineStr">
        <is>
          <t>2026-06</t>
        </is>
      </c>
      <c r="E10">
        <f>SUMIFS(Records!$K$2:$K$500,Records!$E$2:$E$500,"&gt;="&amp;DATE(2026,6,1),Records!$E$2:$E$500,"&lt;="&amp;DATE(2026,6,DAY(EOMONTH(DATE(2026,6,1),0))))</f>
        <v/>
      </c>
      <c r="F10">
        <f>SUMIFS(Records!$I$2:$I$500,Records!$E$2:$E$500,"&gt;="&amp;DATE(2026,6,1),Records!$E$2:$E$500,"&lt;="&amp;DATE(2026,6,DAY(EOMONTH(DATE(2026,6,1),0))))</f>
        <v/>
      </c>
      <c r="G10">
        <f>SUMIFS(Records!$J$2:$J$500,Records!$E$2:$E$500,"&gt;="&amp;DATE(2026,6,1),Records!$E$2:$E$500,"&lt;="&amp;DATE(2026,6,DAY(EOMONTH(DATE(2026,6,1),0))))</f>
        <v/>
      </c>
    </row>
    <row r="11">
      <c r="D11" t="inlineStr">
        <is>
          <t>2026-07</t>
        </is>
      </c>
      <c r="E11">
        <f>SUMIFS(Records!$K$2:$K$500,Records!$E$2:$E$500,"&gt;="&amp;DATE(2026,7,1),Records!$E$2:$E$500,"&lt;="&amp;DATE(2026,7,DAY(EOMONTH(DATE(2026,7,1),0))))</f>
        <v/>
      </c>
      <c r="F11">
        <f>SUMIFS(Records!$I$2:$I$500,Records!$E$2:$E$500,"&gt;="&amp;DATE(2026,7,1),Records!$E$2:$E$500,"&lt;="&amp;DATE(2026,7,DAY(EOMONTH(DATE(2026,7,1),0))))</f>
        <v/>
      </c>
      <c r="G11">
        <f>SUMIFS(Records!$J$2:$J$500,Records!$E$2:$E$500,"&gt;="&amp;DATE(2026,7,1),Records!$E$2:$E$500,"&lt;="&amp;DATE(2026,7,DAY(EOMONTH(DATE(2026,7,1),0))))</f>
        <v/>
      </c>
    </row>
    <row r="12">
      <c r="D12" t="inlineStr">
        <is>
          <t>2026-08</t>
        </is>
      </c>
      <c r="E12">
        <f>SUMIFS(Records!$K$2:$K$500,Records!$E$2:$E$500,"&gt;="&amp;DATE(2026,8,1),Records!$E$2:$E$500,"&lt;="&amp;DATE(2026,8,DAY(EOMONTH(DATE(2026,8,1),0))))</f>
        <v/>
      </c>
      <c r="F12">
        <f>SUMIFS(Records!$I$2:$I$500,Records!$E$2:$E$500,"&gt;="&amp;DATE(2026,8,1),Records!$E$2:$E$500,"&lt;="&amp;DATE(2026,8,DAY(EOMONTH(DATE(2026,8,1),0))))</f>
        <v/>
      </c>
      <c r="G12">
        <f>SUMIFS(Records!$J$2:$J$500,Records!$E$2:$E$500,"&gt;="&amp;DATE(2026,8,1),Records!$E$2:$E$500,"&lt;="&amp;DATE(2026,8,DAY(EOMONTH(DATE(2026,8,1),0))))</f>
        <v/>
      </c>
    </row>
    <row r="13">
      <c r="D13" t="inlineStr">
        <is>
          <t>2026-09</t>
        </is>
      </c>
      <c r="E13">
        <f>SUMIFS(Records!$K$2:$K$500,Records!$E$2:$E$500,"&gt;="&amp;DATE(2026,9,1),Records!$E$2:$E$500,"&lt;="&amp;DATE(2026,9,DAY(EOMONTH(DATE(2026,9,1),0))))</f>
        <v/>
      </c>
      <c r="F13">
        <f>SUMIFS(Records!$I$2:$I$500,Records!$E$2:$E$500,"&gt;="&amp;DATE(2026,9,1),Records!$E$2:$E$500,"&lt;="&amp;DATE(2026,9,DAY(EOMONTH(DATE(2026,9,1),0))))</f>
        <v/>
      </c>
      <c r="G13">
        <f>SUMIFS(Records!$J$2:$J$500,Records!$E$2:$E$500,"&gt;="&amp;DATE(2026,9,1),Records!$E$2:$E$500,"&lt;="&amp;DATE(2026,9,DAY(EOMONTH(DATE(2026,9,1),0))))</f>
        <v/>
      </c>
    </row>
    <row r="14">
      <c r="D14" t="inlineStr">
        <is>
          <t>2026-10</t>
        </is>
      </c>
      <c r="E14">
        <f>SUMIFS(Records!$K$2:$K$500,Records!$E$2:$E$500,"&gt;="&amp;DATE(2026,10,1),Records!$E$2:$E$500,"&lt;="&amp;DATE(2026,10,DAY(EOMONTH(DATE(2026,10,1),0))))</f>
        <v/>
      </c>
      <c r="F14">
        <f>SUMIFS(Records!$I$2:$I$500,Records!$E$2:$E$500,"&gt;="&amp;DATE(2026,10,1),Records!$E$2:$E$500,"&lt;="&amp;DATE(2026,10,DAY(EOMONTH(DATE(2026,10,1),0))))</f>
        <v/>
      </c>
      <c r="G14">
        <f>SUMIFS(Records!$J$2:$J$500,Records!$E$2:$E$500,"&gt;="&amp;DATE(2026,10,1),Records!$E$2:$E$500,"&lt;="&amp;DATE(2026,10,DAY(EOMONTH(DATE(2026,10,1),0))))</f>
        <v/>
      </c>
    </row>
    <row r="15">
      <c r="D15" t="inlineStr">
        <is>
          <t>2026-11</t>
        </is>
      </c>
      <c r="E15">
        <f>SUMIFS(Records!$K$2:$K$500,Records!$E$2:$E$500,"&gt;="&amp;DATE(2026,11,1),Records!$E$2:$E$500,"&lt;="&amp;DATE(2026,11,DAY(EOMONTH(DATE(2026,11,1),0))))</f>
        <v/>
      </c>
      <c r="F15">
        <f>SUMIFS(Records!$I$2:$I$500,Records!$E$2:$E$500,"&gt;="&amp;DATE(2026,11,1),Records!$E$2:$E$500,"&lt;="&amp;DATE(2026,11,DAY(EOMONTH(DATE(2026,11,1),0))))</f>
        <v/>
      </c>
      <c r="G15">
        <f>SUMIFS(Records!$J$2:$J$500,Records!$E$2:$E$500,"&gt;="&amp;DATE(2026,11,1),Records!$E$2:$E$500,"&lt;="&amp;DATE(2026,11,DAY(EOMONTH(DATE(2026,11,1),0))))</f>
        <v/>
      </c>
    </row>
    <row r="16">
      <c r="D16" t="inlineStr">
        <is>
          <t>2026-12</t>
        </is>
      </c>
      <c r="E16">
        <f>SUMIFS(Records!$K$2:$K$500,Records!$E$2:$E$500,"&gt;="&amp;DATE(2026,12,1),Records!$E$2:$E$500,"&lt;="&amp;DATE(2026,12,DAY(EOMONTH(DATE(2026,12,1),0))))</f>
        <v/>
      </c>
      <c r="F16">
        <f>SUMIFS(Records!$I$2:$I$500,Records!$E$2:$E$500,"&gt;="&amp;DATE(2026,12,1),Records!$E$2:$E$500,"&lt;="&amp;DATE(2026,12,DAY(EOMONTH(DATE(2026,12,1),0))))</f>
        <v/>
      </c>
      <c r="G16">
        <f>SUMIFS(Records!$J$2:$J$500,Records!$E$2:$E$500,"&gt;="&amp;DATE(2026,12,1),Records!$E$2:$E$500,"&lt;="&amp;DATE(2026,12,DAY(EOMONTH(DATE(2026,12,1),0))))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6" t="inlineStr">
        <is>
          <t>Work Type</t>
        </is>
      </c>
      <c r="B1" s="6" t="inlineStr">
        <is>
          <t>Status</t>
        </is>
      </c>
      <c r="C1" s="6" t="inlineStr">
        <is>
          <t>Yes/No</t>
        </is>
      </c>
    </row>
    <row r="2">
      <c r="A2" t="inlineStr">
        <is>
          <t>Development</t>
        </is>
      </c>
      <c r="B2" t="inlineStr">
        <is>
          <t>Completed</t>
        </is>
      </c>
      <c r="C2" t="inlineStr">
        <is>
          <t>Yes</t>
        </is>
      </c>
    </row>
    <row r="3">
      <c r="A3" t="inlineStr">
        <is>
          <t>Testing</t>
        </is>
      </c>
      <c r="B3" t="inlineStr">
        <is>
          <t>In Progress</t>
        </is>
      </c>
      <c r="C3" t="inlineStr">
        <is>
          <t>No</t>
        </is>
      </c>
    </row>
    <row r="4">
      <c r="A4" t="inlineStr">
        <is>
          <t>Meeting</t>
        </is>
      </c>
      <c r="B4" t="inlineStr">
        <is>
          <t>Blocked</t>
        </is>
      </c>
    </row>
    <row r="5">
      <c r="A5" t="inlineStr">
        <is>
          <t>Fixing</t>
        </is>
      </c>
    </row>
    <row r="6">
      <c r="A6" t="inlineStr">
        <is>
          <t>Analysis</t>
        </is>
      </c>
    </row>
    <row r="7">
      <c r="A7" t="inlineStr">
        <is>
          <t>Documentation</t>
        </is>
      </c>
    </row>
    <row r="8">
      <c r="A8" t="inlineStr">
        <is>
          <t>Support</t>
        </is>
      </c>
    </row>
    <row r="9">
      <c r="A9" t="inlineStr">
        <is>
          <t>Integration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2026-06-06T16:45:41Z</dcterms:created>
  <dcterms:modified xsi:type="dcterms:W3CDTF">2026-06-06T16:45:41Z</dcterms:modified>
</cp:coreProperties>
</file>