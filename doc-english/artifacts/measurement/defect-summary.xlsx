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" sheetId="1" state="visible" r:id="rId1"/>
    <sheet name="Indicators" sheetId="2" state="visible" r:id="rId2"/>
    <sheet name="Analyses" sheetId="3" state="visible" r:id="rId3"/>
    <sheet name="Dashboards" sheetId="4" state="visible" r:id="rId4"/>
    <sheet name="Lists" sheetId="5" state="visible" r:id="rId5"/>
  </sheets>
  <definedNames>
    <definedName name="_xlnm._FilterDatabase" localSheetId="0" hidden="1">'Defects'!$A$1:$M$1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'Analyses'!B3</f>
            </strRef>
          </tx>
          <spPr>
            <a:ln>
              <a:prstDash val="solid"/>
            </a:ln>
          </spPr>
          <cat>
            <strRef>
              <f>'Analyses'!$A$4:$A$7</f>
            </strRef>
          </cat>
          <val>
            <numRef>
              <f>'Analyses'!$B$4:$B$7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Defects by Type</a:t>
            </a:r>
          </a:p>
        </rich>
      </tx>
    </title>
    <plotArea>
      <pieChart>
        <varyColors val="1"/>
        <ser>
          <idx val="0"/>
          <order val="0"/>
          <tx>
            <strRef>
              <f>'Analyses'!B10</f>
            </strRef>
          </tx>
          <spPr>
            <a:ln>
              <a:prstDash val="solid"/>
            </a:ln>
          </spPr>
          <cat>
            <strRef>
              <f>'Analyses'!$A$11:$A$20</f>
            </strRef>
          </cat>
          <val>
            <numRef>
              <f>'Analyses'!$B$11:$B$20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Defects by Project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'Analyses'!E3</f>
            </strRef>
          </tx>
          <spPr>
            <a:ln>
              <a:prstDash val="solid"/>
            </a:ln>
          </spPr>
          <cat>
            <strRef>
              <f>'Analyses'!$D$4:$D$18</f>
            </strRef>
          </cat>
          <val>
            <numRef>
              <f>'Analyses'!$E$4:$E$18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Time Trend (Identified)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'Dashboards'!$D$5:$D$16</f>
            </strRef>
          </cat>
          <val>
            <numRef>
              <f>'Dashboards'!$E$5:$E$16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26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  <col width="17" customWidth="1" min="9" max="9"/>
    <col width="13" customWidth="1" min="10" max="10"/>
    <col width="17" customWidth="1" min="11" max="11"/>
    <col width="13" customWidth="1" min="12" max="12"/>
    <col width="13" customWidth="1" min="13" max="13"/>
  </cols>
  <sheetData>
    <row r="1" ht="30" customHeight="1">
      <c r="A1" s="1" t="inlineStr">
        <is>
          <t>ID</t>
        </is>
      </c>
      <c r="B1" s="1" t="inlineStr">
        <is>
          <t>Identification Date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Defect Type</t>
        </is>
      </c>
      <c r="F1" s="1" t="inlineStr">
        <is>
          <t>Severity</t>
        </is>
      </c>
      <c r="G1" s="1" t="inlineStr">
        <is>
          <t>Status</t>
        </is>
      </c>
      <c r="H1" s="1" t="inlineStr">
        <is>
          <t>Introduction Phase</t>
        </is>
      </c>
      <c r="I1" s="1" t="inlineStr">
        <is>
          <t>Detection Phase</t>
        </is>
      </c>
      <c r="J1" s="1" t="inlineStr">
        <is>
          <t>Owner</t>
        </is>
      </c>
      <c r="K1" s="1" t="inlineStr">
        <is>
          <t>Fix Time (days)</t>
        </is>
      </c>
      <c r="L1" s="1" t="inlineStr">
        <is>
          <t>Size (KLOC)</t>
        </is>
      </c>
      <c r="M1" s="1" t="inlineStr">
        <is>
          <t>Root Cause</t>
        </is>
      </c>
    </row>
  </sheetData>
  <autoFilter ref="A1:M1"/>
  <conditionalFormatting sqref="F2:F500">
    <cfRule type="expression" priority="1" dxfId="0">
      <formula>EXACT($F2,"Critical")</formula>
    </cfRule>
    <cfRule type="expression" priority="2" dxfId="1">
      <formula>EXACT($F2,"High")</formula>
    </cfRule>
  </conditionalFormatting>
  <conditionalFormatting sqref="G2:G500">
    <cfRule type="expression" priority="3" dxfId="2">
      <formula>EXACT($G2,"Closed")</formula>
    </cfRule>
  </conditionalFormatting>
  <dataValidations count="5">
    <dataValidation sqref="E2:E500" showDropDown="0" showInputMessage="0" showErrorMessage="0" allowBlank="1" type="list">
      <formula1>=Lists!$C$2:$C$11</formula1>
    </dataValidation>
    <dataValidation sqref="F2:F500" showDropDown="0" showInputMessage="0" showErrorMessage="0" allowBlank="1" type="list">
      <formula1>=Lists!$A$2:$A$5</formula1>
    </dataValidation>
    <dataValidation sqref="G2:G500" showDropDown="0" showInputMessage="0" showErrorMessage="0" allowBlank="1" type="list">
      <formula1>=Lists!$B$2:$B$7</formula1>
    </dataValidation>
    <dataValidation sqref="H2:H500" showDropDown="0" showInputMessage="0" showErrorMessage="0" allowBlank="1" type="list">
      <formula1>=Lists!$D$2:$D$8</formula1>
    </dataValidation>
    <dataValidation sqref="I2:I500" showDropDown="0" showInputMessage="0" showErrorMessage="0" allowBlank="1" type="list">
      <formula1>=Lists!$D$2:$D$8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2" t="inlineStr">
        <is>
          <t>Consolidated Defect Indicators</t>
        </is>
      </c>
    </row>
    <row r="2">
      <c r="A2" s="3" t="inlineStr">
        <is>
          <t>Indicators (KPIs)</t>
        </is>
      </c>
    </row>
    <row r="3">
      <c r="A3" s="4" t="inlineStr">
        <is>
          <t>Total Defects</t>
        </is>
      </c>
      <c r="B3">
        <f>COUNTA(Defects!A2:A500)</f>
        <v/>
      </c>
    </row>
    <row r="4">
      <c r="A4" s="4" t="inlineStr">
        <is>
          <t>Open Defects</t>
        </is>
      </c>
      <c r="B4">
        <f>COUNTIF(Defects!G2:G500,"Open")</f>
        <v/>
      </c>
    </row>
    <row r="5">
      <c r="A5" s="4" t="inlineStr">
        <is>
          <t>Closed Defects</t>
        </is>
      </c>
      <c r="B5">
        <f>COUNTIF(Defects!G2:G500,"Closed")</f>
        <v/>
      </c>
    </row>
    <row r="6">
      <c r="A6" s="4" t="inlineStr">
        <is>
          <t>Critical Defects</t>
        </is>
      </c>
      <c r="B6">
        <f>COUNTIF(Defects!F2:F500,"Critical")</f>
        <v/>
      </c>
    </row>
    <row r="7">
      <c r="A7" s="4" t="inlineStr">
        <is>
          <t>Average Fix Time (days)</t>
        </is>
      </c>
      <c r="B7">
        <f>IFERROR(AVERAGE(Defects!K2:K500),"")</f>
        <v/>
      </c>
    </row>
    <row r="8">
      <c r="A8" s="4" t="inlineStr">
        <is>
          <t>Total Size (KLOC)</t>
        </is>
      </c>
      <c r="B8">
        <f>SUM(Defects!L2:L500)</f>
        <v/>
      </c>
    </row>
    <row r="9">
      <c r="A9" s="4" t="inlineStr">
        <is>
          <t>Defect Density (def/KLOC)</t>
        </is>
      </c>
      <c r="B9">
        <f>IFERROR(Indicators!B3/Indicators!B8,"")</f>
        <v/>
      </c>
    </row>
    <row r="10">
      <c r="A10" s="4" t="inlineStr">
        <is>
          <t>% Critical Defects</t>
        </is>
      </c>
      <c r="B10">
        <f>IFERROR(Indicators!B6/Indicators!B3*100,"")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10" max="10"/>
    <col width="12" customWidth="1" min="11" max="11"/>
  </cols>
  <sheetData>
    <row r="1">
      <c r="A1" s="2" t="inlineStr">
        <is>
          <t>Consolidated Analyses</t>
        </is>
      </c>
    </row>
    <row r="2">
      <c r="A2" s="3" t="inlineStr">
        <is>
          <t>By Severity</t>
        </is>
      </c>
      <c r="D2" s="3" t="inlineStr">
        <is>
          <t>Consolidated by Project</t>
        </is>
      </c>
    </row>
    <row r="3">
      <c r="A3" s="4" t="inlineStr">
        <is>
          <t>Category</t>
        </is>
      </c>
      <c r="B3" s="4" t="inlineStr">
        <is>
          <t>Count</t>
        </is>
      </c>
      <c r="D3" s="4" t="inlineStr">
        <is>
          <t>Project</t>
        </is>
      </c>
      <c r="E3" s="4" t="inlineStr">
        <is>
          <t>Total</t>
        </is>
      </c>
      <c r="F3" s="4" t="inlineStr">
        <is>
          <t>Open</t>
        </is>
      </c>
      <c r="G3" s="4" t="inlineStr">
        <is>
          <t>Closed</t>
        </is>
      </c>
      <c r="H3" s="4" t="inlineStr">
        <is>
          <t>Critical</t>
        </is>
      </c>
    </row>
    <row r="4">
      <c r="A4" t="inlineStr">
        <is>
          <t>Critical</t>
        </is>
      </c>
      <c r="B4">
        <f>COUNTIF(Defects!F2:F500,$A4)</f>
        <v/>
      </c>
      <c r="E4">
        <f>IF($D4="","",COUNTIF(Defects!C2:C500,$D4))</f>
        <v/>
      </c>
      <c r="F4">
        <f>IF($D4="","",COUNTIFS(Defects!C2:C500,$D4,Defects!G2:G500,"Open"))</f>
        <v/>
      </c>
      <c r="G4">
        <f>IF($D4="","",COUNTIFS(Defects!C2:C500,$D4,Defects!G2:G500,"Closed"))</f>
        <v/>
      </c>
      <c r="H4">
        <f>IF($D4="","",COUNTIFS(Defects!C2:C500,$D4,Defects!F2:F500,"Critical"))</f>
        <v/>
      </c>
    </row>
    <row r="5">
      <c r="A5" t="inlineStr">
        <is>
          <t>High</t>
        </is>
      </c>
      <c r="B5">
        <f>COUNTIF(Defects!F2:F500,$A5)</f>
        <v/>
      </c>
      <c r="E5">
        <f>IF($D5="","",COUNTIF(Defects!C2:C500,$D5))</f>
        <v/>
      </c>
      <c r="F5">
        <f>IF($D5="","",COUNTIFS(Defects!C2:C500,$D5,Defects!G2:G500,"Open"))</f>
        <v/>
      </c>
      <c r="G5">
        <f>IF($D5="","",COUNTIFS(Defects!C2:C500,$D5,Defects!G2:G500,"Closed"))</f>
        <v/>
      </c>
      <c r="H5">
        <f>IF($D5="","",COUNTIFS(Defects!C2:C500,$D5,Defects!F2:F500,"Critical"))</f>
        <v/>
      </c>
    </row>
    <row r="6">
      <c r="A6" t="inlineStr">
        <is>
          <t>Medium</t>
        </is>
      </c>
      <c r="B6">
        <f>COUNTIF(Defects!F2:F500,$A6)</f>
        <v/>
      </c>
      <c r="E6">
        <f>IF($D6="","",COUNTIF(Defects!C2:C500,$D6))</f>
        <v/>
      </c>
      <c r="F6">
        <f>IF($D6="","",COUNTIFS(Defects!C2:C500,$D6,Defects!G2:G500,"Open"))</f>
        <v/>
      </c>
      <c r="G6">
        <f>IF($D6="","",COUNTIFS(Defects!C2:C500,$D6,Defects!G2:G500,"Closed"))</f>
        <v/>
      </c>
      <c r="H6">
        <f>IF($D6="","",COUNTIFS(Defects!C2:C500,$D6,Defects!F2:F500,"Critical"))</f>
        <v/>
      </c>
    </row>
    <row r="7">
      <c r="A7" t="inlineStr">
        <is>
          <t>Low</t>
        </is>
      </c>
      <c r="B7">
        <f>COUNTIF(Defects!F2:F500,$A7)</f>
        <v/>
      </c>
      <c r="E7">
        <f>IF($D7="","",COUNTIF(Defects!C2:C500,$D7))</f>
        <v/>
      </c>
      <c r="F7">
        <f>IF($D7="","",COUNTIFS(Defects!C2:C500,$D7,Defects!G2:G500,"Open"))</f>
        <v/>
      </c>
      <c r="G7">
        <f>IF($D7="","",COUNTIFS(Defects!C2:C500,$D7,Defects!G2:G500,"Closed"))</f>
        <v/>
      </c>
      <c r="H7">
        <f>IF($D7="","",COUNTIFS(Defects!C2:C500,$D7,Defects!F2:F500,"Critical"))</f>
        <v/>
      </c>
    </row>
    <row r="8">
      <c r="E8">
        <f>IF($D8="","",COUNTIF(Defects!C2:C500,$D8))</f>
        <v/>
      </c>
      <c r="F8">
        <f>IF($D8="","",COUNTIFS(Defects!C2:C500,$D8,Defects!G2:G500,"Open"))</f>
        <v/>
      </c>
      <c r="G8">
        <f>IF($D8="","",COUNTIFS(Defects!C2:C500,$D8,Defects!G2:G500,"Closed"))</f>
        <v/>
      </c>
      <c r="H8">
        <f>IF($D8="","",COUNTIFS(Defects!C2:C500,$D8,Defects!F2:F500,"Critical"))</f>
        <v/>
      </c>
    </row>
    <row r="9">
      <c r="A9" s="3" t="inlineStr">
        <is>
          <t>By Type</t>
        </is>
      </c>
      <c r="E9">
        <f>IF($D9="","",COUNTIF(Defects!C2:C500,$D9))</f>
        <v/>
      </c>
      <c r="F9">
        <f>IF($D9="","",COUNTIFS(Defects!C2:C500,$D9,Defects!G2:G500,"Open"))</f>
        <v/>
      </c>
      <c r="G9">
        <f>IF($D9="","",COUNTIFS(Defects!C2:C500,$D9,Defects!G2:G500,"Closed"))</f>
        <v/>
      </c>
      <c r="H9">
        <f>IF($D9="","",COUNTIFS(Defects!C2:C500,$D9,Defects!F2:F500,"Critical"))</f>
        <v/>
      </c>
      <c r="J9" s="3" t="inlineStr">
        <is>
          <t>By Module</t>
        </is>
      </c>
    </row>
    <row r="10">
      <c r="A10" s="4" t="inlineStr">
        <is>
          <t>Category</t>
        </is>
      </c>
      <c r="B10" s="4" t="inlineStr">
        <is>
          <t>Count</t>
        </is>
      </c>
      <c r="E10">
        <f>IF($D10="","",COUNTIF(Defects!C2:C500,$D10))</f>
        <v/>
      </c>
      <c r="F10">
        <f>IF($D10="","",COUNTIFS(Defects!C2:C500,$D10,Defects!G2:G500,"Open"))</f>
        <v/>
      </c>
      <c r="G10">
        <f>IF($D10="","",COUNTIFS(Defects!C2:C500,$D10,Defects!G2:G500,"Closed"))</f>
        <v/>
      </c>
      <c r="H10">
        <f>IF($D10="","",COUNTIFS(Defects!C2:C500,$D10,Defects!F2:F500,"Critical"))</f>
        <v/>
      </c>
      <c r="J10" s="4" t="inlineStr">
        <is>
          <t>Module</t>
        </is>
      </c>
      <c r="K10" s="4" t="inlineStr">
        <is>
          <t>Count</t>
        </is>
      </c>
    </row>
    <row r="11">
      <c r="A11" t="inlineStr">
        <is>
          <t>Functional</t>
        </is>
      </c>
      <c r="B11">
        <f>COUNTIF(Defects!E2:E500,$A11)</f>
        <v/>
      </c>
      <c r="E11">
        <f>IF($D11="","",COUNTIF(Defects!C2:C500,$D11))</f>
        <v/>
      </c>
      <c r="F11">
        <f>IF($D11="","",COUNTIFS(Defects!C2:C500,$D11,Defects!G2:G500,"Open"))</f>
        <v/>
      </c>
      <c r="G11">
        <f>IF($D11="","",COUNTIFS(Defects!C2:C500,$D11,Defects!G2:G500,"Closed"))</f>
        <v/>
      </c>
      <c r="H11">
        <f>IF($D11="","",COUNTIFS(Defects!C2:C500,$D11,Defects!F2:F500,"Critical"))</f>
        <v/>
      </c>
      <c r="K11">
        <f>IF($J11="","",COUNTIF(Defects!D2:D500,$J11))</f>
        <v/>
      </c>
    </row>
    <row r="12">
      <c r="A12" t="inlineStr">
        <is>
          <t>Interface</t>
        </is>
      </c>
      <c r="B12">
        <f>COUNTIF(Defects!E2:E500,$A12)</f>
        <v/>
      </c>
      <c r="E12">
        <f>IF($D12="","",COUNTIF(Defects!C2:C500,$D12))</f>
        <v/>
      </c>
      <c r="F12">
        <f>IF($D12="","",COUNTIFS(Defects!C2:C500,$D12,Defects!G2:G500,"Open"))</f>
        <v/>
      </c>
      <c r="G12">
        <f>IF($D12="","",COUNTIFS(Defects!C2:C500,$D12,Defects!G2:G500,"Closed"))</f>
        <v/>
      </c>
      <c r="H12">
        <f>IF($D12="","",COUNTIFS(Defects!C2:C500,$D12,Defects!F2:F500,"Critical"))</f>
        <v/>
      </c>
      <c r="K12">
        <f>IF($J12="","",COUNTIF(Defects!D2:D500,$J12))</f>
        <v/>
      </c>
    </row>
    <row r="13">
      <c r="A13" t="inlineStr">
        <is>
          <t>Performance</t>
        </is>
      </c>
      <c r="B13">
        <f>COUNTIF(Defects!E2:E500,$A13)</f>
        <v/>
      </c>
      <c r="E13">
        <f>IF($D13="","",COUNTIF(Defects!C2:C500,$D13))</f>
        <v/>
      </c>
      <c r="F13">
        <f>IF($D13="","",COUNTIFS(Defects!C2:C500,$D13,Defects!G2:G500,"Open"))</f>
        <v/>
      </c>
      <c r="G13">
        <f>IF($D13="","",COUNTIFS(Defects!C2:C500,$D13,Defects!G2:G500,"Closed"))</f>
        <v/>
      </c>
      <c r="H13">
        <f>IF($D13="","",COUNTIFS(Defects!C2:C500,$D13,Defects!F2:F500,"Critical"))</f>
        <v/>
      </c>
      <c r="K13">
        <f>IF($J13="","",COUNTIF(Defects!D2:D500,$J13))</f>
        <v/>
      </c>
    </row>
    <row r="14">
      <c r="A14" t="inlineStr">
        <is>
          <t>Security</t>
        </is>
      </c>
      <c r="B14">
        <f>COUNTIF(Defects!E2:E500,$A14)</f>
        <v/>
      </c>
      <c r="E14">
        <f>IF($D14="","",COUNTIF(Defects!C2:C500,$D14))</f>
        <v/>
      </c>
      <c r="F14">
        <f>IF($D14="","",COUNTIFS(Defects!C2:C500,$D14,Defects!G2:G500,"Open"))</f>
        <v/>
      </c>
      <c r="G14">
        <f>IF($D14="","",COUNTIFS(Defects!C2:C500,$D14,Defects!G2:G500,"Closed"))</f>
        <v/>
      </c>
      <c r="H14">
        <f>IF($D14="","",COUNTIFS(Defects!C2:C500,$D14,Defects!F2:F500,"Critical"))</f>
        <v/>
      </c>
      <c r="K14">
        <f>IF($J14="","",COUNTIF(Defects!D2:D500,$J14))</f>
        <v/>
      </c>
    </row>
    <row r="15">
      <c r="A15" t="inlineStr">
        <is>
          <t>Usability</t>
        </is>
      </c>
      <c r="B15">
        <f>COUNTIF(Defects!E2:E500,$A15)</f>
        <v/>
      </c>
      <c r="E15">
        <f>IF($D15="","",COUNTIF(Defects!C2:C500,$D15))</f>
        <v/>
      </c>
      <c r="F15">
        <f>IF($D15="","",COUNTIFS(Defects!C2:C500,$D15,Defects!G2:G500,"Open"))</f>
        <v/>
      </c>
      <c r="G15">
        <f>IF($D15="","",COUNTIFS(Defects!C2:C500,$D15,Defects!G2:G500,"Closed"))</f>
        <v/>
      </c>
      <c r="H15">
        <f>IF($D15="","",COUNTIFS(Defects!C2:C500,$D15,Defects!F2:F500,"Critical"))</f>
        <v/>
      </c>
      <c r="K15">
        <f>IF($J15="","",COUNTIF(Defects!D2:D500,$J15))</f>
        <v/>
      </c>
    </row>
    <row r="16">
      <c r="A16" t="inlineStr">
        <is>
          <t>Compatibility</t>
        </is>
      </c>
      <c r="B16">
        <f>COUNTIF(Defects!E2:E500,$A16)</f>
        <v/>
      </c>
      <c r="E16">
        <f>IF($D16="","",COUNTIF(Defects!C2:C500,$D16))</f>
        <v/>
      </c>
      <c r="F16">
        <f>IF($D16="","",COUNTIFS(Defects!C2:C500,$D16,Defects!G2:G500,"Open"))</f>
        <v/>
      </c>
      <c r="G16">
        <f>IF($D16="","",COUNTIFS(Defects!C2:C500,$D16,Defects!G2:G500,"Closed"))</f>
        <v/>
      </c>
      <c r="H16">
        <f>IF($D16="","",COUNTIFS(Defects!C2:C500,$D16,Defects!F2:F500,"Critical"))</f>
        <v/>
      </c>
      <c r="K16">
        <f>IF($J16="","",COUNTIF(Defects!D2:D500,$J16))</f>
        <v/>
      </c>
    </row>
    <row r="17">
      <c r="A17" t="inlineStr">
        <is>
          <t>Documentation</t>
        </is>
      </c>
      <c r="B17">
        <f>COUNTIF(Defects!E2:E500,$A17)</f>
        <v/>
      </c>
      <c r="E17">
        <f>IF($D17="","",COUNTIF(Defects!C2:C500,$D17))</f>
        <v/>
      </c>
      <c r="F17">
        <f>IF($D17="","",COUNTIFS(Defects!C2:C500,$D17,Defects!G2:G500,"Open"))</f>
        <v/>
      </c>
      <c r="G17">
        <f>IF($D17="","",COUNTIFS(Defects!C2:C500,$D17,Defects!G2:G500,"Closed"))</f>
        <v/>
      </c>
      <c r="H17">
        <f>IF($D17="","",COUNTIFS(Defects!C2:C500,$D17,Defects!F2:F500,"Critical"))</f>
        <v/>
      </c>
      <c r="K17">
        <f>IF($J17="","",COUNTIF(Defects!D2:D500,$J17))</f>
        <v/>
      </c>
    </row>
    <row r="18">
      <c r="A18" t="inlineStr">
        <is>
          <t>Data</t>
        </is>
      </c>
      <c r="B18">
        <f>COUNTIF(Defects!E2:E500,$A18)</f>
        <v/>
      </c>
      <c r="E18">
        <f>IF($D18="","",COUNTIF(Defects!C2:C500,$D18))</f>
        <v/>
      </c>
      <c r="F18">
        <f>IF($D18="","",COUNTIFS(Defects!C2:C500,$D18,Defects!G2:G500,"Open"))</f>
        <v/>
      </c>
      <c r="G18">
        <f>IF($D18="","",COUNTIFS(Defects!C2:C500,$D18,Defects!G2:G500,"Closed"))</f>
        <v/>
      </c>
      <c r="H18">
        <f>IF($D18="","",COUNTIFS(Defects!C2:C500,$D18,Defects!F2:F500,"Critical"))</f>
        <v/>
      </c>
      <c r="K18">
        <f>IF($J18="","",COUNTIF(Defects!D2:D500,$J18))</f>
        <v/>
      </c>
    </row>
    <row r="19">
      <c r="A19" t="inlineStr">
        <is>
          <t>Infrastructure</t>
        </is>
      </c>
      <c r="B19">
        <f>COUNTIF(Defects!E2:E500,$A19)</f>
        <v/>
      </c>
      <c r="K19">
        <f>IF($J19="","",COUNTIF(Defects!D2:D500,$J19))</f>
        <v/>
      </c>
    </row>
    <row r="20">
      <c r="A20" t="inlineStr">
        <is>
          <t>Other</t>
        </is>
      </c>
      <c r="B20">
        <f>COUNTIF(Defects!E2:E500,$A20)</f>
        <v/>
      </c>
      <c r="K20">
        <f>IF($J20="","",COUNTIF(Defects!D2:D500,$J20))</f>
        <v/>
      </c>
    </row>
    <row r="21">
      <c r="K21">
        <f>IF($J21="","",COUNTIF(Defects!D2:D500,$J21))</f>
        <v/>
      </c>
    </row>
    <row r="22">
      <c r="K22">
        <f>IF($J22="","",COUNTIF(Defects!D2:D500,$J22))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4" max="4"/>
    <col width="12" customWidth="1" min="5" max="5"/>
  </cols>
  <sheetData>
    <row r="1">
      <c r="A1" s="5" t="inlineStr">
        <is>
          <t>Consolidated Defects Dashboard</t>
        </is>
      </c>
    </row>
    <row r="3">
      <c r="A3" s="3" t="inlineStr">
        <is>
          <t>Indicators (KPIs)</t>
        </is>
      </c>
      <c r="D3" s="3" t="inlineStr">
        <is>
          <t>Time Trend (Identified)</t>
        </is>
      </c>
    </row>
    <row r="4">
      <c r="A4" s="4" t="inlineStr">
        <is>
          <t>Total Defects</t>
        </is>
      </c>
      <c r="B4">
        <f>Indicators!B3</f>
        <v/>
      </c>
      <c r="D4" s="4" t="inlineStr">
        <is>
          <t>Month</t>
        </is>
      </c>
      <c r="E4" s="4" t="inlineStr">
        <is>
          <t>Count</t>
        </is>
      </c>
    </row>
    <row r="5">
      <c r="A5" s="4" t="inlineStr">
        <is>
          <t>Critical Defects</t>
        </is>
      </c>
      <c r="B5">
        <f>Indicators!B6</f>
        <v/>
      </c>
      <c r="D5" t="inlineStr">
        <is>
          <t>2026-01</t>
        </is>
      </c>
      <c r="E5">
        <f>COUNTIFS(Defects!$B$2:$B$500,"&gt;="&amp;DATE(2026,1,1),Defects!$B$2:$B$500,"&lt;="&amp;DATE(2026,1,DAY(EOMONTH(DATE(2026,1,1),0))))</f>
        <v/>
      </c>
    </row>
    <row r="6">
      <c r="A6" s="4" t="inlineStr">
        <is>
          <t>Defect Density (def/KLOC)</t>
        </is>
      </c>
      <c r="B6">
        <f>Indicators!B9</f>
        <v/>
      </c>
      <c r="D6" t="inlineStr">
        <is>
          <t>2026-02</t>
        </is>
      </c>
      <c r="E6">
        <f>COUNTIFS(Defects!$B$2:$B$500,"&gt;="&amp;DATE(2026,2,1),Defects!$B$2:$B$500,"&lt;="&amp;DATE(2026,2,DAY(EOMONTH(DATE(2026,2,1),0))))</f>
        <v/>
      </c>
    </row>
    <row r="7">
      <c r="A7" s="4" t="inlineStr">
        <is>
          <t>% Critical Defects</t>
        </is>
      </c>
      <c r="B7">
        <f>Indicators!B10</f>
        <v/>
      </c>
      <c r="D7" t="inlineStr">
        <is>
          <t>2026-03</t>
        </is>
      </c>
      <c r="E7">
        <f>COUNTIFS(Defects!$B$2:$B$500,"&gt;="&amp;DATE(2026,3,1),Defects!$B$2:$B$500,"&lt;="&amp;DATE(2026,3,DAY(EOMONTH(DATE(2026,3,1),0))))</f>
        <v/>
      </c>
    </row>
    <row r="8">
      <c r="D8" t="inlineStr">
        <is>
          <t>2026-04</t>
        </is>
      </c>
      <c r="E8">
        <f>COUNTIFS(Defects!$B$2:$B$500,"&gt;="&amp;DATE(2026,4,1),Defects!$B$2:$B$500,"&lt;="&amp;DATE(2026,4,DAY(EOMONTH(DATE(2026,4,1),0))))</f>
        <v/>
      </c>
    </row>
    <row r="9">
      <c r="D9" t="inlineStr">
        <is>
          <t>2026-05</t>
        </is>
      </c>
      <c r="E9">
        <f>COUNTIFS(Defects!$B$2:$B$500,"&gt;="&amp;DATE(2026,5,1),Defects!$B$2:$B$500,"&lt;="&amp;DATE(2026,5,DAY(EOMONTH(DATE(2026,5,1),0))))</f>
        <v/>
      </c>
    </row>
    <row r="10">
      <c r="D10" t="inlineStr">
        <is>
          <t>2026-06</t>
        </is>
      </c>
      <c r="E10">
        <f>COUNTIFS(Defects!$B$2:$B$500,"&gt;="&amp;DATE(2026,6,1),Defects!$B$2:$B$500,"&lt;="&amp;DATE(2026,6,DAY(EOMONTH(DATE(2026,6,1),0))))</f>
        <v/>
      </c>
    </row>
    <row r="11">
      <c r="D11" t="inlineStr">
        <is>
          <t>2026-07</t>
        </is>
      </c>
      <c r="E11">
        <f>COUNTIFS(Defects!$B$2:$B$500,"&gt;="&amp;DATE(2026,7,1),Defects!$B$2:$B$500,"&lt;="&amp;DATE(2026,7,DAY(EOMONTH(DATE(2026,7,1),0))))</f>
        <v/>
      </c>
    </row>
    <row r="12">
      <c r="D12" t="inlineStr">
        <is>
          <t>2026-08</t>
        </is>
      </c>
      <c r="E12">
        <f>COUNTIFS(Defects!$B$2:$B$500,"&gt;="&amp;DATE(2026,8,1),Defects!$B$2:$B$500,"&lt;="&amp;DATE(2026,8,DAY(EOMONTH(DATE(2026,8,1),0))))</f>
        <v/>
      </c>
    </row>
    <row r="13">
      <c r="D13" t="inlineStr">
        <is>
          <t>2026-09</t>
        </is>
      </c>
      <c r="E13">
        <f>COUNTIFS(Defects!$B$2:$B$500,"&gt;="&amp;DATE(2026,9,1),Defects!$B$2:$B$500,"&lt;="&amp;DATE(2026,9,DAY(EOMONTH(DATE(2026,9,1),0))))</f>
        <v/>
      </c>
    </row>
    <row r="14">
      <c r="D14" t="inlineStr">
        <is>
          <t>2026-10</t>
        </is>
      </c>
      <c r="E14">
        <f>COUNTIFS(Defects!$B$2:$B$500,"&gt;="&amp;DATE(2026,10,1),Defects!$B$2:$B$500,"&lt;="&amp;DATE(2026,10,DAY(EOMONTH(DATE(2026,10,1),0))))</f>
        <v/>
      </c>
    </row>
    <row r="15">
      <c r="D15" t="inlineStr">
        <is>
          <t>2026-11</t>
        </is>
      </c>
      <c r="E15">
        <f>COUNTIFS(Defects!$B$2:$B$500,"&gt;="&amp;DATE(2026,11,1),Defects!$B$2:$B$500,"&lt;="&amp;DATE(2026,11,DAY(EOMONTH(DATE(2026,11,1),0))))</f>
        <v/>
      </c>
    </row>
    <row r="16">
      <c r="D16" t="inlineStr">
        <is>
          <t>2026-12</t>
        </is>
      </c>
      <c r="E16">
        <f>COUNTIFS(Defects!$B$2:$B$500,"&gt;="&amp;DATE(2026,12,1),Defects!$B$2:$B$500,"&lt;="&amp;DATE(2026,12,DAY(EOMONTH(DATE(2026,12,1),0))))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6" t="inlineStr">
        <is>
          <t>Severity</t>
        </is>
      </c>
      <c r="B1" s="6" t="inlineStr">
        <is>
          <t>Status</t>
        </is>
      </c>
      <c r="C1" s="6" t="inlineStr">
        <is>
          <t>Defect Type</t>
        </is>
      </c>
      <c r="D1" s="6" t="inlineStr">
        <is>
          <t>Phase</t>
        </is>
      </c>
    </row>
    <row r="2">
      <c r="A2" t="inlineStr">
        <is>
          <t>Critical</t>
        </is>
      </c>
      <c r="B2" t="inlineStr">
        <is>
          <t>Open</t>
        </is>
      </c>
      <c r="C2" t="inlineStr">
        <is>
          <t>Functional</t>
        </is>
      </c>
      <c r="D2" t="inlineStr">
        <is>
          <t>Requirements</t>
        </is>
      </c>
    </row>
    <row r="3">
      <c r="A3" t="inlineStr">
        <is>
          <t>High</t>
        </is>
      </c>
      <c r="B3" t="inlineStr">
        <is>
          <t>In Analysis</t>
        </is>
      </c>
      <c r="C3" t="inlineStr">
        <is>
          <t>Interface</t>
        </is>
      </c>
      <c r="D3" t="inlineStr">
        <is>
          <t>Design</t>
        </is>
      </c>
    </row>
    <row r="4">
      <c r="A4" t="inlineStr">
        <is>
          <t>Medium</t>
        </is>
      </c>
      <c r="B4" t="inlineStr">
        <is>
          <t>In Fixing</t>
        </is>
      </c>
      <c r="C4" t="inlineStr">
        <is>
          <t>Performance</t>
        </is>
      </c>
      <c r="D4" t="inlineStr">
        <is>
          <t>Coding</t>
        </is>
      </c>
    </row>
    <row r="5">
      <c r="A5" t="inlineStr">
        <is>
          <t>Low</t>
        </is>
      </c>
      <c r="B5" t="inlineStr">
        <is>
          <t>In Retest</t>
        </is>
      </c>
      <c r="C5" t="inlineStr">
        <is>
          <t>Security</t>
        </is>
      </c>
      <c r="D5" t="inlineStr">
        <is>
          <t>Integration</t>
        </is>
      </c>
    </row>
    <row r="6">
      <c r="B6" t="inlineStr">
        <is>
          <t>Closed</t>
        </is>
      </c>
      <c r="C6" t="inlineStr">
        <is>
          <t>Usability</t>
        </is>
      </c>
      <c r="D6" t="inlineStr">
        <is>
          <t>Test</t>
        </is>
      </c>
    </row>
    <row r="7">
      <c r="B7" t="inlineStr">
        <is>
          <t>Cancelled</t>
        </is>
      </c>
      <c r="C7" t="inlineStr">
        <is>
          <t>Compatibility</t>
        </is>
      </c>
      <c r="D7" t="inlineStr">
        <is>
          <t>Deployment</t>
        </is>
      </c>
    </row>
    <row r="8">
      <c r="C8" t="inlineStr">
        <is>
          <t>Documentation</t>
        </is>
      </c>
      <c r="D8" t="inlineStr">
        <is>
          <t>Production</t>
        </is>
      </c>
    </row>
    <row r="9">
      <c r="C9" t="inlineStr">
        <is>
          <t>Data</t>
        </is>
      </c>
    </row>
    <row r="10">
      <c r="C10" t="inlineStr">
        <is>
          <t>Infrastructure</t>
        </is>
      </c>
    </row>
    <row r="11">
      <c r="C1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2026-06-06T17:13:59Z</dcterms:created>
  <dcterms:modified xsi:type="dcterms:W3CDTF">2026-06-06T17:13:59Z</dcterms:modified>
</cp:coreProperties>
</file>