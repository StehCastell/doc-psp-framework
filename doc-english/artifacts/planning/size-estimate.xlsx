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Estimates" sheetId="2" state="visible" r:id="rId2"/>
    <sheet name="Conversions" sheetId="3" state="visible" r:id="rId3"/>
    <sheet name="Analyses" sheetId="4" state="visible" r:id="rId4"/>
    <sheet name="Dashboards" sheetId="5" state="visible" r:id="rId5"/>
    <sheet name="Lists" sheetId="6" state="visible" r:id="rId6"/>
  </sheets>
  <definedNames>
    <definedName name="_xlnm._FilterDatabase" localSheetId="0" hidden="1">'Features'!$A$1:$I$1</definedName>
    <definedName name="_xlnm._FilterDatabase" localSheetId="1" hidden="1">'Estimates'!$A$1:$E$1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Size Distribution by Type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numRef>
              <f>'Analyses'!$D$4:$D$7</f>
            </numRef>
          </cat>
          <val>
            <numRef>
              <f>'Analyses'!$E$4:$E$7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Complexity vs Size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'Analyses'!E10</f>
            </strRef>
          </tx>
          <spPr>
            <a:ln>
              <a:prstDash val="solid"/>
            </a:ln>
          </spPr>
          <cat>
            <numRef>
              <f>'Analyses'!$D$11:$D$14</f>
            </numRef>
          </cat>
          <val>
            <numRef>
              <f>'Analyses'!$E$11:$E$14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Features by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cat>
            <numRef>
              <f>'Analyses'!$H$4:$H$15</f>
            </numRef>
          </cat>
          <val>
            <numRef>
              <f>'Analyses'!$I$4:$I$15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Estimated Size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25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System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Type</t>
        </is>
      </c>
      <c r="F1" s="1" t="inlineStr">
        <is>
          <t>Complexity</t>
        </is>
      </c>
      <c r="G1" s="1" t="inlineStr">
        <is>
          <t>Function Points</t>
        </is>
      </c>
      <c r="H1" s="1" t="inlineStr">
        <is>
          <t>Story Points</t>
        </is>
      </c>
      <c r="I1" s="1" t="inlineStr">
        <is>
          <t>Use Cases</t>
        </is>
      </c>
    </row>
  </sheetData>
  <autoFilter ref="A1:I1"/>
  <dataValidations count="2">
    <dataValidation sqref="E2:E300" showDropDown="0" showInputMessage="0" showErrorMessage="0" allowBlank="1" type="list">
      <formula1>=Lists!$A$2:$A$5</formula1>
    </dataValidation>
    <dataValidation sqref="F2:F300" showDropDown="0" showInputMessage="0" showErrorMessage="0" allowBlank="1" type="list">
      <formula1>=Lists!$C$2:$C$5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 ht="30" customHeight="1">
      <c r="A1" s="1" t="inlineStr">
        <is>
          <t>Feature ID</t>
        </is>
      </c>
      <c r="B1" s="1" t="inlineStr">
        <is>
          <t>Method</t>
        </is>
      </c>
      <c r="C1" s="1" t="inlineStr">
        <is>
          <t>Estimated Value</t>
        </is>
      </c>
      <c r="D1" s="1" t="inlineStr">
        <is>
          <t>Owner</t>
        </is>
      </c>
      <c r="E1" s="1" t="inlineStr">
        <is>
          <t>Date</t>
        </is>
      </c>
    </row>
  </sheetData>
  <autoFilter ref="A1:E1"/>
  <dataValidations count="1">
    <dataValidation sqref="B2:B300" showDropDown="0" showInputMessage="0" showErrorMessage="0" allowBlank="1" type="list">
      <formula1>=Lists!$B$2:$B$4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</cols>
  <sheetData>
    <row r="1">
      <c r="A1" s="2" t="inlineStr">
        <is>
          <t>Conversion / Equivalence Table between Methods</t>
        </is>
      </c>
    </row>
    <row r="2">
      <c r="A2" s="3" t="inlineStr">
        <is>
          <t>Reference values (adjust to your organization's calibration).</t>
        </is>
      </c>
    </row>
    <row r="4">
      <c r="A4" s="4" t="inlineStr">
        <is>
          <t>Complexity</t>
        </is>
      </c>
      <c r="B4" s="4" t="inlineStr">
        <is>
          <t>Function Points (FP)</t>
        </is>
      </c>
      <c r="C4" s="4" t="inlineStr">
        <is>
          <t>Story Points</t>
        </is>
      </c>
      <c r="D4" s="4" t="inlineStr">
        <is>
          <t>Use Cases</t>
        </is>
      </c>
      <c r="E4" s="4" t="inlineStr">
        <is>
          <t>Hours (reference)</t>
        </is>
      </c>
    </row>
    <row r="5">
      <c r="A5" t="inlineStr">
        <is>
          <t>Low</t>
        </is>
      </c>
      <c r="B5" t="n">
        <v>3</v>
      </c>
      <c r="C5" t="n">
        <v>2</v>
      </c>
      <c r="D5" t="n">
        <v>1</v>
      </c>
      <c r="E5" t="n">
        <v>8</v>
      </c>
    </row>
    <row r="6">
      <c r="A6" t="inlineStr">
        <is>
          <t>Medium</t>
        </is>
      </c>
      <c r="B6" t="n">
        <v>5</v>
      </c>
      <c r="C6" t="n">
        <v>3</v>
      </c>
      <c r="D6" t="n">
        <v>1</v>
      </c>
      <c r="E6" t="n">
        <v>16</v>
      </c>
    </row>
    <row r="7">
      <c r="A7" t="inlineStr">
        <is>
          <t>High</t>
        </is>
      </c>
      <c r="B7" t="n">
        <v>8</v>
      </c>
      <c r="C7" t="n">
        <v>5</v>
      </c>
      <c r="D7" t="n">
        <v>2</v>
      </c>
      <c r="E7" t="n">
        <v>32</v>
      </c>
    </row>
    <row r="8">
      <c r="A8" t="inlineStr">
        <is>
          <t>Very High</t>
        </is>
      </c>
      <c r="B8" t="n">
        <v>13</v>
      </c>
      <c r="C8" t="n">
        <v>8</v>
      </c>
      <c r="D8" t="n">
        <v>3</v>
      </c>
      <c r="E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4" customWidth="1" min="5" max="5"/>
    <col width="22" customWidth="1" min="8" max="8"/>
    <col width="14" customWidth="1" min="9" max="9"/>
  </cols>
  <sheetData>
    <row r="1">
      <c r="A1" s="2" t="inlineStr">
        <is>
          <t>Size Analyses</t>
        </is>
      </c>
    </row>
    <row r="2">
      <c r="A2" s="5" t="inlineStr">
        <is>
          <t>Indicators (KPIs)</t>
        </is>
      </c>
      <c r="D2" s="5" t="inlineStr">
        <is>
          <t>Average Size by Type (FP)</t>
        </is>
      </c>
      <c r="H2" s="5" t="inlineStr">
        <is>
          <t>Comparison by System (FP)</t>
        </is>
      </c>
    </row>
    <row r="3">
      <c r="A3" s="6" t="inlineStr">
        <is>
          <t>Total Features</t>
        </is>
      </c>
      <c r="B3">
        <f>COUNTA(Features!A2:A300)</f>
        <v/>
      </c>
      <c r="D3" s="6" t="inlineStr">
        <is>
          <t>Type</t>
        </is>
      </c>
      <c r="E3" s="6" t="inlineStr">
        <is>
          <t>FP (avg)</t>
        </is>
      </c>
      <c r="H3" s="6" t="inlineStr">
        <is>
          <t>System</t>
        </is>
      </c>
      <c r="I3" s="6" t="inlineStr">
        <is>
          <t>FP (total)</t>
        </is>
      </c>
    </row>
    <row r="4">
      <c r="A4" s="6" t="inlineStr">
        <is>
          <t>Total Function Points</t>
        </is>
      </c>
      <c r="B4">
        <f>SUM(Features!G2:G300)</f>
        <v/>
      </c>
      <c r="D4" t="inlineStr">
        <is>
          <t>CRUD</t>
        </is>
      </c>
      <c r="E4">
        <f>IFERROR(AVERAGEIF(Features!E2:E300,$D4,Features!G2:G300),"")</f>
        <v/>
      </c>
      <c r="I4">
        <f>IF($H4="","",SUMIF(Features!B2:B300,$H4,Features!G2:G300))</f>
        <v/>
      </c>
    </row>
    <row r="5">
      <c r="A5" s="6" t="inlineStr">
        <is>
          <t>Total Story Points</t>
        </is>
      </c>
      <c r="B5">
        <f>SUM(Features!H2:H300)</f>
        <v/>
      </c>
      <c r="D5" t="inlineStr">
        <is>
          <t>Report</t>
        </is>
      </c>
      <c r="E5">
        <f>IFERROR(AVERAGEIF(Features!E2:E300,$D5,Features!G2:G300),"")</f>
        <v/>
      </c>
      <c r="I5">
        <f>IF($H5="","",SUMIF(Features!B2:B300,$H5,Features!G2:G300))</f>
        <v/>
      </c>
    </row>
    <row r="6">
      <c r="A6" s="6" t="inlineStr">
        <is>
          <t>Average FP per Feature</t>
        </is>
      </c>
      <c r="B6">
        <f>IFERROR(AVERAGE(Features!G2:G300),"")</f>
        <v/>
      </c>
      <c r="D6" t="inlineStr">
        <is>
          <t>Integration</t>
        </is>
      </c>
      <c r="E6">
        <f>IFERROR(AVERAGEIF(Features!E2:E300,$D6,Features!G2:G300),"")</f>
        <v/>
      </c>
      <c r="I6">
        <f>IF($H6="","",SUMIF(Features!B2:B300,$H6,Features!G2:G300))</f>
        <v/>
      </c>
    </row>
    <row r="7">
      <c r="A7" s="6" t="inlineStr">
        <is>
          <t>Average Story Points</t>
        </is>
      </c>
      <c r="B7">
        <f>IFERROR(AVERAGE(Features!H2:H300),"")</f>
        <v/>
      </c>
      <c r="D7" t="inlineStr">
        <is>
          <t>Business Rule</t>
        </is>
      </c>
      <c r="E7">
        <f>IFERROR(AVERAGEIF(Features!E2:E300,$D7,Features!G2:G300),"")</f>
        <v/>
      </c>
      <c r="I7">
        <f>IF($H7="","",SUMIF(Features!B2:B300,$H7,Features!G2:G300))</f>
        <v/>
      </c>
    </row>
    <row r="8">
      <c r="I8">
        <f>IF($H8="","",SUMIF(Features!B2:B300,$H8,Features!G2:G300))</f>
        <v/>
      </c>
    </row>
    <row r="9">
      <c r="D9" s="5" t="inlineStr">
        <is>
          <t>Distribution by Complexity</t>
        </is>
      </c>
      <c r="I9">
        <f>IF($H9="","",SUMIF(Features!B2:B300,$H9,Features!G2:G300))</f>
        <v/>
      </c>
    </row>
    <row r="10">
      <c r="D10" s="6" t="inlineStr">
        <is>
          <t>Complexity</t>
        </is>
      </c>
      <c r="E10" s="6" t="inlineStr">
        <is>
          <t>Count</t>
        </is>
      </c>
      <c r="I10">
        <f>IF($H10="","",SUMIF(Features!B2:B300,$H10,Features!G2:G300))</f>
        <v/>
      </c>
    </row>
    <row r="11">
      <c r="D11" t="inlineStr">
        <is>
          <t>Low</t>
        </is>
      </c>
      <c r="E11">
        <f>COUNTIF(Features!F2:F300,$D11)</f>
        <v/>
      </c>
      <c r="I11">
        <f>IF($H11="","",SUMIF(Features!B2:B300,$H11,Features!G2:G300))</f>
        <v/>
      </c>
    </row>
    <row r="12">
      <c r="D12" t="inlineStr">
        <is>
          <t>Medium</t>
        </is>
      </c>
      <c r="E12">
        <f>COUNTIF(Features!F2:F300,$D12)</f>
        <v/>
      </c>
      <c r="I12">
        <f>IF($H12="","",SUMIF(Features!B2:B300,$H12,Features!G2:G300))</f>
        <v/>
      </c>
    </row>
    <row r="13">
      <c r="D13" t="inlineStr">
        <is>
          <t>High</t>
        </is>
      </c>
      <c r="E13">
        <f>COUNTIF(Features!F2:F300,$D13)</f>
        <v/>
      </c>
      <c r="I13">
        <f>IF($H13="","",SUMIF(Features!B2:B300,$H13,Features!G2:G300))</f>
        <v/>
      </c>
    </row>
    <row r="14">
      <c r="D14" t="inlineStr">
        <is>
          <t>Very High</t>
        </is>
      </c>
      <c r="E14">
        <f>COUNTIF(Features!F2:F300,$D14)</f>
        <v/>
      </c>
      <c r="I14">
        <f>IF($H14="","",SUMIF(Features!B2:B300,$H14,Features!G2:G300))</f>
        <v/>
      </c>
    </row>
    <row r="15">
      <c r="I15">
        <f>IF($H15="","",SUMIF(Features!B2:B300,$H15,Features!G2:G300))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4" max="4"/>
    <col width="14" customWidth="1" min="5" max="5"/>
  </cols>
  <sheetData>
    <row r="1">
      <c r="A1" s="7" t="inlineStr">
        <is>
          <t>Functional Size Dashboard</t>
        </is>
      </c>
    </row>
    <row r="3">
      <c r="A3" s="5" t="inlineStr">
        <is>
          <t>Indicators (KPIs)</t>
        </is>
      </c>
      <c r="D3" s="5" t="inlineStr">
        <is>
          <t>Estimated Size Trend (Monthly)</t>
        </is>
      </c>
    </row>
    <row r="4">
      <c r="A4" s="6" t="inlineStr">
        <is>
          <t>Total Features</t>
        </is>
      </c>
      <c r="B4">
        <f>Analyses!B3</f>
        <v/>
      </c>
      <c r="D4" s="6" t="inlineStr">
        <is>
          <t>Month</t>
        </is>
      </c>
      <c r="E4" s="6" t="inlineStr">
        <is>
          <t>FP (total)</t>
        </is>
      </c>
    </row>
    <row r="5">
      <c r="A5" s="6" t="inlineStr">
        <is>
          <t>Total Function Points</t>
        </is>
      </c>
      <c r="B5">
        <f>Analyses!B4</f>
        <v/>
      </c>
      <c r="D5" t="inlineStr">
        <is>
          <t>2026-01</t>
        </is>
      </c>
      <c r="E5">
        <f>SUMIFS(Estimates!$C$2:$C$300,Estimates!$E$2:$E$300,"&gt;="&amp;DATE(2026,1,1),Estimates!$E$2:$E$300,"&lt;="&amp;DATE(2026,1,DAY(EOMONTH(DATE(2026,1,1),0))))</f>
        <v/>
      </c>
    </row>
    <row r="6">
      <c r="A6" s="6" t="inlineStr">
        <is>
          <t>Average FP per Feature</t>
        </is>
      </c>
      <c r="B6">
        <f>Analyses!B6</f>
        <v/>
      </c>
      <c r="D6" t="inlineStr">
        <is>
          <t>2026-02</t>
        </is>
      </c>
      <c r="E6">
        <f>SUMIFS(Estimates!$C$2:$C$300,Estimates!$E$2:$E$300,"&gt;="&amp;DATE(2026,2,1),Estimates!$E$2:$E$300,"&lt;="&amp;DATE(2026,2,DAY(EOMONTH(DATE(2026,2,1),0))))</f>
        <v/>
      </c>
    </row>
    <row r="7">
      <c r="D7" t="inlineStr">
        <is>
          <t>2026-03</t>
        </is>
      </c>
      <c r="E7">
        <f>SUMIFS(Estimates!$C$2:$C$300,Estimates!$E$2:$E$300,"&gt;="&amp;DATE(2026,3,1),Estimates!$E$2:$E$300,"&lt;="&amp;DATE(2026,3,DAY(EOMONTH(DATE(2026,3,1),0))))</f>
        <v/>
      </c>
    </row>
    <row r="8">
      <c r="D8" t="inlineStr">
        <is>
          <t>2026-04</t>
        </is>
      </c>
      <c r="E8">
        <f>SUMIFS(Estimates!$C$2:$C$300,Estimates!$E$2:$E$300,"&gt;="&amp;DATE(2026,4,1),Estimates!$E$2:$E$300,"&lt;="&amp;DATE(2026,4,DAY(EOMONTH(DATE(2026,4,1),0))))</f>
        <v/>
      </c>
    </row>
    <row r="9">
      <c r="D9" t="inlineStr">
        <is>
          <t>2026-05</t>
        </is>
      </c>
      <c r="E9">
        <f>SUMIFS(Estimates!$C$2:$C$300,Estimates!$E$2:$E$300,"&gt;="&amp;DATE(2026,5,1),Estimates!$E$2:$E$300,"&lt;="&amp;DATE(2026,5,DAY(EOMONTH(DATE(2026,5,1),0))))</f>
        <v/>
      </c>
    </row>
    <row r="10">
      <c r="D10" t="inlineStr">
        <is>
          <t>2026-06</t>
        </is>
      </c>
      <c r="E10">
        <f>SUMIFS(Estimates!$C$2:$C$300,Estimates!$E$2:$E$300,"&gt;="&amp;DATE(2026,6,1),Estimates!$E$2:$E$300,"&lt;="&amp;DATE(2026,6,DAY(EOMONTH(DATE(2026,6,1),0))))</f>
        <v/>
      </c>
    </row>
    <row r="11">
      <c r="D11" t="inlineStr">
        <is>
          <t>2026-07</t>
        </is>
      </c>
      <c r="E11">
        <f>SUMIFS(Estimates!$C$2:$C$300,Estimates!$E$2:$E$300,"&gt;="&amp;DATE(2026,7,1),Estimates!$E$2:$E$300,"&lt;="&amp;DATE(2026,7,DAY(EOMONTH(DATE(2026,7,1),0))))</f>
        <v/>
      </c>
    </row>
    <row r="12">
      <c r="D12" t="inlineStr">
        <is>
          <t>2026-08</t>
        </is>
      </c>
      <c r="E12">
        <f>SUMIFS(Estimates!$C$2:$C$300,Estimates!$E$2:$E$300,"&gt;="&amp;DATE(2026,8,1),Estimates!$E$2:$E$300,"&lt;="&amp;DATE(2026,8,DAY(EOMONTH(DATE(2026,8,1),0))))</f>
        <v/>
      </c>
    </row>
    <row r="13">
      <c r="D13" t="inlineStr">
        <is>
          <t>2026-09</t>
        </is>
      </c>
      <c r="E13">
        <f>SUMIFS(Estimates!$C$2:$C$300,Estimates!$E$2:$E$300,"&gt;="&amp;DATE(2026,9,1),Estimates!$E$2:$E$300,"&lt;="&amp;DATE(2026,9,DAY(EOMONTH(DATE(2026,9,1),0))))</f>
        <v/>
      </c>
    </row>
    <row r="14">
      <c r="D14" t="inlineStr">
        <is>
          <t>2026-10</t>
        </is>
      </c>
      <c r="E14">
        <f>SUMIFS(Estimates!$C$2:$C$300,Estimates!$E$2:$E$300,"&gt;="&amp;DATE(2026,10,1),Estimates!$E$2:$E$300,"&lt;="&amp;DATE(2026,10,DAY(EOMONTH(DATE(2026,10,1),0))))</f>
        <v/>
      </c>
    </row>
    <row r="15">
      <c r="D15" t="inlineStr">
        <is>
          <t>2026-11</t>
        </is>
      </c>
      <c r="E15">
        <f>SUMIFS(Estimates!$C$2:$C$300,Estimates!$E$2:$E$300,"&gt;="&amp;DATE(2026,11,1),Estimates!$E$2:$E$300,"&lt;="&amp;DATE(2026,11,DAY(EOMONTH(DATE(2026,11,1),0))))</f>
        <v/>
      </c>
    </row>
    <row r="16">
      <c r="D16" t="inlineStr">
        <is>
          <t>2026-12</t>
        </is>
      </c>
      <c r="E16">
        <f>SUMIFS(Estimates!$C$2:$C$300,Estimates!$E$2:$E$300,"&gt;="&amp;DATE(2026,12,1),Estimates!$E$2:$E$300,"&lt;="&amp;DATE(2026,12,DAY(EOMONTH(DATE(2026,12,1),0))))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4" t="inlineStr">
        <is>
          <t>Feature Type</t>
        </is>
      </c>
      <c r="B1" s="4" t="inlineStr">
        <is>
          <t>Estimation Method</t>
        </is>
      </c>
      <c r="C1" s="4" t="inlineStr">
        <is>
          <t>Complexity</t>
        </is>
      </c>
    </row>
    <row r="2">
      <c r="A2" t="inlineStr">
        <is>
          <t>CRUD</t>
        </is>
      </c>
      <c r="B2" t="inlineStr">
        <is>
          <t>FP</t>
        </is>
      </c>
      <c r="C2" t="inlineStr">
        <is>
          <t>Low</t>
        </is>
      </c>
    </row>
    <row r="3">
      <c r="A3" t="inlineStr">
        <is>
          <t>Report</t>
        </is>
      </c>
      <c r="B3" t="inlineStr">
        <is>
          <t>Story Points</t>
        </is>
      </c>
      <c r="C3" t="inlineStr">
        <is>
          <t>Medium</t>
        </is>
      </c>
    </row>
    <row r="4">
      <c r="A4" t="inlineStr">
        <is>
          <t>Integration</t>
        </is>
      </c>
      <c r="B4" t="inlineStr">
        <is>
          <t>Analogy</t>
        </is>
      </c>
      <c r="C4" t="inlineStr">
        <is>
          <t>High</t>
        </is>
      </c>
    </row>
    <row r="5">
      <c r="A5" t="inlineStr">
        <is>
          <t>Business Rule</t>
        </is>
      </c>
      <c r="C5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2026-06-06T16:58:01Z</dcterms:created>
  <dcterms:modified xsi:type="dcterms:W3CDTF">2026-06-06T16:58:01Z</dcterms:modified>
</cp:coreProperties>
</file>