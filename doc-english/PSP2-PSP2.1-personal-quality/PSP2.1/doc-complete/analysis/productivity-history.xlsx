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History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'Records'!$A$1:$K$1</definedName>
    <definedName name="_xlnm._FilterDatabase" localSheetId="1" hidden="1">'History'!$A$1:$G$1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Productivity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'Analyses'!D10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'Analyses'!$A$11:$A$22</f>
            </strRef>
          </cat>
          <val>
            <numRef>
              <f>'Analyses'!$D$11:$D$22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'Analyses'!G3</f>
            </strRef>
          </tx>
          <spPr>
            <a:ln>
              <a:prstDash val="solid"/>
            </a:ln>
          </spPr>
          <cat>
            <strRef>
              <f>'Analyses'!$D$4:$D$6</f>
            </strRef>
          </cat>
          <val>
            <numRef>
              <f>'Analyses'!$G$4:$G$6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vs Deliveries (Monthly)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'Analyses'!B10</f>
            </strRef>
          </tx>
          <spPr>
            <a:ln>
              <a:prstDash val="solid"/>
            </a:ln>
          </spPr>
          <cat>
            <strRef>
              <f>'Analyses'!$A$11:$A$22</f>
            </strRef>
          </cat>
          <val>
            <numRef>
              <f>'Analyses'!$B$11:$B$22</f>
            </numRef>
          </val>
        </ser>
        <ser>
          <idx val="1"/>
          <order val="1"/>
          <tx>
            <strRef>
              <f>'Analyses'!C10</f>
            </strRef>
          </tx>
          <spPr>
            <a:ln>
              <a:prstDash val="solid"/>
            </a:ln>
          </spPr>
          <cat>
            <strRef>
              <f>'Analyses'!$A$11:$A$22</f>
            </strRef>
          </cat>
          <val>
            <numRef>
              <f>'Analyses'!$C$11:$C$22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Rework by Team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'Analyses'!J19</f>
            </strRef>
          </tx>
          <spPr>
            <a:ln>
              <a:prstDash val="solid"/>
            </a:ln>
          </spPr>
          <cat>
            <strRef>
              <f>'Analyses'!$I$20:$I$22</f>
            </strRef>
          </cat>
          <val>
            <numRef>
              <f>'Analyses'!$J$20:$J$22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7" customWidth="1" min="10" max="10"/>
    <col width="13" customWidth="1" min="11" max="11"/>
  </cols>
  <sheetData>
    <row r="1" ht="30" customHeight="1">
      <c r="A1" s="1" t="inlineStr">
        <is>
          <t>ID</t>
        </is>
      </c>
      <c r="B1" s="1" t="inlineStr">
        <is>
          <t>Project</t>
        </is>
      </c>
      <c r="C1" s="1" t="inlineStr">
        <is>
          <t>Team</t>
        </is>
      </c>
      <c r="D1" s="1" t="inlineStr">
        <is>
          <t>Date</t>
        </is>
      </c>
      <c r="E1" s="1" t="inlineStr">
        <is>
          <t>Sprint</t>
        </is>
      </c>
      <c r="F1" s="1" t="inlineStr">
        <is>
          <t>Activity</t>
        </is>
      </c>
      <c r="G1" s="1" t="inlineStr">
        <is>
          <t>Work Type</t>
        </is>
      </c>
      <c r="H1" s="1" t="inlineStr">
        <is>
          <t>Owner</t>
        </is>
      </c>
      <c r="I1" s="1" t="inlineStr">
        <is>
          <t>Worked Hours</t>
        </is>
      </c>
      <c r="J1" s="1" t="inlineStr">
        <is>
          <t>Completed Items</t>
        </is>
      </c>
      <c r="K1" s="1" t="inlineStr">
        <is>
          <t>Rework</t>
        </is>
      </c>
    </row>
  </sheetData>
  <autoFilter ref="A1:K1"/>
  <conditionalFormatting sqref="K2:K500">
    <cfRule type="expression" priority="1" dxfId="0">
      <formula>EXACT($K2,"Yes")</formula>
    </cfRule>
  </conditionalFormatting>
  <dataValidations count="3">
    <dataValidation sqref="G2:G500" showDropDown="0" showInputMessage="0" showErrorMessage="0" allowBlank="1" type="list">
      <formula1>=Lists!$A$2:$A$9</formula1>
    </dataValidation>
    <dataValidation sqref="C2:C500" showDropDown="0" showInputMessage="0" showErrorMessage="0" allowBlank="1" type="list">
      <formula1>=Lists!$B$2:$B$4</formula1>
    </dataValidation>
    <dataValidation sqref="K2:K500" showDropDown="0" showInputMessage="0" showErrorMessage="0" allowBlank="1" type="list">
      <formula1>=Lists!$E$2:$E$3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1" t="inlineStr">
        <is>
          <t>Period</t>
        </is>
      </c>
      <c r="B1" s="1" t="inlineStr">
        <is>
          <t>Change Type</t>
        </is>
      </c>
      <c r="C1" s="1" t="inlineStr">
        <is>
          <t>Description</t>
        </is>
      </c>
      <c r="D1" s="1" t="inlineStr">
        <is>
          <t>Team</t>
        </is>
      </c>
      <c r="E1" s="1" t="inlineStr">
        <is>
          <t>Impact</t>
        </is>
      </c>
      <c r="F1" s="1" t="inlineStr">
        <is>
          <t>Date</t>
        </is>
      </c>
      <c r="G1" s="1" t="inlineStr">
        <is>
          <t>Owner</t>
        </is>
      </c>
    </row>
  </sheetData>
  <autoFilter ref="A1:G1"/>
  <dataValidations count="2">
    <dataValidation sqref="B2:B500" showDropDown="0" showInputMessage="0" showErrorMessage="0" allowBlank="1" type="list">
      <formula1>=Lists!$D$2:$D$5</formula1>
    </dataValidation>
    <dataValidation sqref="D2:D500" showDropDown="0" showInputMessage="0" showErrorMessage="0" allowBlank="1" type="list">
      <formula1>=Lists!$B$2:$B$4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4" max="4"/>
    <col width="16" customWidth="1" min="9" max="9"/>
    <col width="22" customWidth="1" min="10" max="10"/>
  </cols>
  <sheetData>
    <row r="1">
      <c r="A1" s="2" t="inlineStr">
        <is>
          <t>Productivity History Analyses</t>
        </is>
      </c>
    </row>
    <row r="2">
      <c r="A2" s="3" t="inlineStr">
        <is>
          <t>Indicators (KPIs)</t>
        </is>
      </c>
      <c r="D2" s="3" t="inlineStr">
        <is>
          <t>Efficiency by Team</t>
        </is>
      </c>
      <c r="I2" s="3" t="inlineStr">
        <is>
          <t>Average Productivity by Sprint</t>
        </is>
      </c>
    </row>
    <row r="3">
      <c r="A3" s="4" t="inlineStr">
        <is>
          <t>Total Hours</t>
        </is>
      </c>
      <c r="B3">
        <f>SUM(Records!I2:I500)</f>
        <v/>
      </c>
      <c r="D3" s="4" t="inlineStr">
        <is>
          <t>Team</t>
        </is>
      </c>
      <c r="E3" s="4" t="inlineStr">
        <is>
          <t>Hours</t>
        </is>
      </c>
      <c r="F3" s="4" t="inlineStr">
        <is>
          <t>Items</t>
        </is>
      </c>
      <c r="G3" s="4" t="inlineStr">
        <is>
          <t>Productivity (Items/Hour)</t>
        </is>
      </c>
      <c r="I3" s="4" t="inlineStr">
        <is>
          <t>Sprint</t>
        </is>
      </c>
      <c r="J3" s="4" t="inlineStr">
        <is>
          <t>Productivity (Items/Hour)</t>
        </is>
      </c>
    </row>
    <row r="4">
      <c r="A4" s="4" t="inlineStr">
        <is>
          <t>Total Completed Items</t>
        </is>
      </c>
      <c r="B4">
        <f>SUM(Records!J2:J500)</f>
        <v/>
      </c>
      <c r="D4" t="inlineStr">
        <is>
          <t>Team 1</t>
        </is>
      </c>
      <c r="E4">
        <f>SUMIF(Records!C2:C500,$D4,Records!I2:I500)</f>
        <v/>
      </c>
      <c r="F4">
        <f>SUMIF(Records!C2:C500,$D4,Records!J2:J500)</f>
        <v/>
      </c>
      <c r="G4">
        <f>IFERROR(F4/E4,"")</f>
        <v/>
      </c>
      <c r="J4">
        <f>IF($I4="","",IFERROR(SUMIF(Records!E2:E500,$I4,Records!J2:J500)/SUMIF(Records!E2:E500,$I4,Records!I2:I500),""))</f>
        <v/>
      </c>
    </row>
    <row r="5">
      <c r="A5" s="4" t="inlineStr">
        <is>
          <t>Average Productivity (Items/Hour)</t>
        </is>
      </c>
      <c r="B5">
        <f>IFERROR(B4/B3,"")</f>
        <v/>
      </c>
      <c r="D5" t="inlineStr">
        <is>
          <t>Team 2</t>
        </is>
      </c>
      <c r="E5">
        <f>SUMIF(Records!C2:C500,$D5,Records!I2:I500)</f>
        <v/>
      </c>
      <c r="F5">
        <f>SUMIF(Records!C2:C500,$D5,Records!J2:J500)</f>
        <v/>
      </c>
      <c r="G5">
        <f>IFERROR(F5/E5,"")</f>
        <v/>
      </c>
      <c r="J5">
        <f>IF($I5="","",IFERROR(SUMIF(Records!E2:E500,$I5,Records!J2:J500)/SUMIF(Records!E2:E500,$I5,Records!I2:I500),""))</f>
        <v/>
      </c>
    </row>
    <row r="6">
      <c r="A6" s="4" t="inlineStr">
        <is>
          <t>Rework Rate (%)</t>
        </is>
      </c>
      <c r="B6">
        <f>IFERROR(COUNTIF(Records!K2:K500,"Yes")/COUNTA(Records!A2:A500)*100,"")</f>
        <v/>
      </c>
      <c r="D6" t="inlineStr">
        <is>
          <t>Team 3</t>
        </is>
      </c>
      <c r="E6">
        <f>SUMIF(Records!C2:C500,$D6,Records!I2:I500)</f>
        <v/>
      </c>
      <c r="F6">
        <f>SUMIF(Records!C2:C500,$D6,Records!J2:J500)</f>
        <v/>
      </c>
      <c r="G6">
        <f>IFERROR(F6/E6,"")</f>
        <v/>
      </c>
      <c r="J6">
        <f>IF($I6="","",IFERROR(SUMIF(Records!E2:E500,$I6,Records!J2:J500)/SUMIF(Records!E2:E500,$I6,Records!I2:I500),""))</f>
        <v/>
      </c>
    </row>
    <row r="7">
      <c r="J7">
        <f>IF($I7="","",IFERROR(SUMIF(Records!E2:E500,$I7,Records!J2:J500)/SUMIF(Records!E2:E500,$I7,Records!I2:I500),""))</f>
        <v/>
      </c>
    </row>
    <row r="8">
      <c r="J8">
        <f>IF($I8="","",IFERROR(SUMIF(Records!E2:E500,$I8,Records!J2:J500)/SUMIF(Records!E2:E500,$I8,Records!I2:I500),""))</f>
        <v/>
      </c>
    </row>
    <row r="9">
      <c r="A9" s="3" t="inlineStr">
        <is>
          <t>Productivity Trend (Monthly)</t>
        </is>
      </c>
      <c r="J9">
        <f>IF($I9="","",IFERROR(SUMIF(Records!E2:E500,$I9,Records!J2:J500)/SUMIF(Records!E2:E500,$I9,Records!I2:I500),""))</f>
        <v/>
      </c>
    </row>
    <row r="10">
      <c r="A10" s="4" t="inlineStr">
        <is>
          <t>Month</t>
        </is>
      </c>
      <c r="B10" s="4" t="inlineStr">
        <is>
          <t>Hours</t>
        </is>
      </c>
      <c r="C10" s="4" t="inlineStr">
        <is>
          <t>Items</t>
        </is>
      </c>
      <c r="D10" s="4" t="inlineStr">
        <is>
          <t>Productivity (Items/Hour)</t>
        </is>
      </c>
      <c r="J10">
        <f>IF($I10="","",IFERROR(SUMIF(Records!E2:E500,$I10,Records!J2:J500)/SUMIF(Records!E2:E500,$I10,Records!I2:I500),""))</f>
        <v/>
      </c>
    </row>
    <row r="11">
      <c r="A11" t="inlineStr">
        <is>
          <t>2026-01</t>
        </is>
      </c>
      <c r="B11">
        <f>SUMIFS(Records!$I$2:$I$500,Records!$D$2:$D$500,"&gt;="&amp;DATE(2026,1,1),Records!$D$2:$D$500,"&lt;="&amp;DATE(2026,1,DAY(EOMONTH(DATE(2026,1,1),0))))</f>
        <v/>
      </c>
      <c r="C11">
        <f>SUMIFS(Records!$J$2:$J$500,Records!$D$2:$D$500,"&gt;="&amp;DATE(2026,1,1),Records!$D$2:$D$500,"&lt;="&amp;DATE(2026,1,DAY(EOMONTH(DATE(2026,1,1),0))))</f>
        <v/>
      </c>
      <c r="D11">
        <f>IFERROR(C11/B11,"")</f>
        <v/>
      </c>
      <c r="J11">
        <f>IF($I11="","",IFERROR(SUMIF(Records!E2:E500,$I11,Records!J2:J500)/SUMIF(Records!E2:E500,$I11,Records!I2:I500),""))</f>
        <v/>
      </c>
    </row>
    <row r="12">
      <c r="A12" t="inlineStr">
        <is>
          <t>2026-02</t>
        </is>
      </c>
      <c r="B12">
        <f>SUMIFS(Records!$I$2:$I$500,Records!$D$2:$D$500,"&gt;="&amp;DATE(2026,2,1),Records!$D$2:$D$500,"&lt;="&amp;DATE(2026,2,DAY(EOMONTH(DATE(2026,2,1),0))))</f>
        <v/>
      </c>
      <c r="C12">
        <f>SUMIFS(Records!$J$2:$J$500,Records!$D$2:$D$500,"&gt;="&amp;DATE(2026,2,1),Records!$D$2:$D$500,"&lt;="&amp;DATE(2026,2,DAY(EOMONTH(DATE(2026,2,1),0))))</f>
        <v/>
      </c>
      <c r="D12">
        <f>IFERROR(C12/B12,"")</f>
        <v/>
      </c>
      <c r="J12">
        <f>IF($I12="","",IFERROR(SUMIF(Records!E2:E500,$I12,Records!J2:J500)/SUMIF(Records!E2:E500,$I12,Records!I2:I500),""))</f>
        <v/>
      </c>
    </row>
    <row r="13">
      <c r="A13" t="inlineStr">
        <is>
          <t>2026-03</t>
        </is>
      </c>
      <c r="B13">
        <f>SUMIFS(Records!$I$2:$I$500,Records!$D$2:$D$500,"&gt;="&amp;DATE(2026,3,1),Records!$D$2:$D$500,"&lt;="&amp;DATE(2026,3,DAY(EOMONTH(DATE(2026,3,1),0))))</f>
        <v/>
      </c>
      <c r="C13">
        <f>SUMIFS(Records!$J$2:$J$500,Records!$D$2:$D$500,"&gt;="&amp;DATE(2026,3,1),Records!$D$2:$D$500,"&lt;="&amp;DATE(2026,3,DAY(EOMONTH(DATE(2026,3,1),0))))</f>
        <v/>
      </c>
      <c r="D13">
        <f>IFERROR(C13/B13,"")</f>
        <v/>
      </c>
      <c r="J13">
        <f>IF($I13="","",IFERROR(SUMIF(Records!E2:E500,$I13,Records!J2:J500)/SUMIF(Records!E2:E500,$I13,Records!I2:I500),""))</f>
        <v/>
      </c>
    </row>
    <row r="14">
      <c r="A14" t="inlineStr">
        <is>
          <t>2026-04</t>
        </is>
      </c>
      <c r="B14">
        <f>SUMIFS(Records!$I$2:$I$500,Records!$D$2:$D$500,"&gt;="&amp;DATE(2026,4,1),Records!$D$2:$D$500,"&lt;="&amp;DATE(2026,4,DAY(EOMONTH(DATE(2026,4,1),0))))</f>
        <v/>
      </c>
      <c r="C14">
        <f>SUMIFS(Records!$J$2:$J$500,Records!$D$2:$D$500,"&gt;="&amp;DATE(2026,4,1),Records!$D$2:$D$500,"&lt;="&amp;DATE(2026,4,DAY(EOMONTH(DATE(2026,4,1),0))))</f>
        <v/>
      </c>
      <c r="D14">
        <f>IFERROR(C14/B14,"")</f>
        <v/>
      </c>
      <c r="J14">
        <f>IF($I14="","",IFERROR(SUMIF(Records!E2:E500,$I14,Records!J2:J500)/SUMIF(Records!E2:E500,$I14,Records!I2:I500),""))</f>
        <v/>
      </c>
    </row>
    <row r="15">
      <c r="A15" t="inlineStr">
        <is>
          <t>2026-05</t>
        </is>
      </c>
      <c r="B15">
        <f>SUMIFS(Records!$I$2:$I$500,Records!$D$2:$D$500,"&gt;="&amp;DATE(2026,5,1),Records!$D$2:$D$500,"&lt;="&amp;DATE(2026,5,DAY(EOMONTH(DATE(2026,5,1),0))))</f>
        <v/>
      </c>
      <c r="C15">
        <f>SUMIFS(Records!$J$2:$J$500,Records!$D$2:$D$500,"&gt;="&amp;DATE(2026,5,1),Records!$D$2:$D$500,"&lt;="&amp;DATE(2026,5,DAY(EOMONTH(DATE(2026,5,1),0))))</f>
        <v/>
      </c>
      <c r="D15">
        <f>IFERROR(C15/B15,"")</f>
        <v/>
      </c>
      <c r="J15">
        <f>IF($I15="","",IFERROR(SUMIF(Records!E2:E500,$I15,Records!J2:J500)/SUMIF(Records!E2:E500,$I15,Records!I2:I500),""))</f>
        <v/>
      </c>
    </row>
    <row r="16">
      <c r="A16" t="inlineStr">
        <is>
          <t>2026-06</t>
        </is>
      </c>
      <c r="B16">
        <f>SUMIFS(Records!$I$2:$I$500,Records!$D$2:$D$500,"&gt;="&amp;DATE(2026,6,1),Records!$D$2:$D$500,"&lt;="&amp;DATE(2026,6,DAY(EOMONTH(DATE(2026,6,1),0))))</f>
        <v/>
      </c>
      <c r="C16">
        <f>SUMIFS(Records!$J$2:$J$500,Records!$D$2:$D$500,"&gt;="&amp;DATE(2026,6,1),Records!$D$2:$D$500,"&lt;="&amp;DATE(2026,6,DAY(EOMONTH(DATE(2026,6,1),0))))</f>
        <v/>
      </c>
      <c r="D16">
        <f>IFERROR(C16/B16,"")</f>
        <v/>
      </c>
    </row>
    <row r="17">
      <c r="A17" t="inlineStr">
        <is>
          <t>2026-07</t>
        </is>
      </c>
      <c r="B17">
        <f>SUMIFS(Records!$I$2:$I$500,Records!$D$2:$D$500,"&gt;="&amp;DATE(2026,7,1),Records!$D$2:$D$500,"&lt;="&amp;DATE(2026,7,DAY(EOMONTH(DATE(2026,7,1),0))))</f>
        <v/>
      </c>
      <c r="C17">
        <f>SUMIFS(Records!$J$2:$J$500,Records!$D$2:$D$500,"&gt;="&amp;DATE(2026,7,1),Records!$D$2:$D$500,"&lt;="&amp;DATE(2026,7,DAY(EOMONTH(DATE(2026,7,1),0))))</f>
        <v/>
      </c>
      <c r="D17">
        <f>IFERROR(C17/B17,"")</f>
        <v/>
      </c>
    </row>
    <row r="18">
      <c r="A18" t="inlineStr">
        <is>
          <t>2026-08</t>
        </is>
      </c>
      <c r="B18">
        <f>SUMIFS(Records!$I$2:$I$500,Records!$D$2:$D$500,"&gt;="&amp;DATE(2026,8,1),Records!$D$2:$D$500,"&lt;="&amp;DATE(2026,8,DAY(EOMONTH(DATE(2026,8,1),0))))</f>
        <v/>
      </c>
      <c r="C18">
        <f>SUMIFS(Records!$J$2:$J$500,Records!$D$2:$D$500,"&gt;="&amp;DATE(2026,8,1),Records!$D$2:$D$500,"&lt;="&amp;DATE(2026,8,DAY(EOMONTH(DATE(2026,8,1),0))))</f>
        <v/>
      </c>
      <c r="D18">
        <f>IFERROR(C18/B18,"")</f>
        <v/>
      </c>
      <c r="I18" s="3" t="inlineStr">
        <is>
          <t>Rework by Team</t>
        </is>
      </c>
    </row>
    <row r="19">
      <c r="A19" t="inlineStr">
        <is>
          <t>2026-09</t>
        </is>
      </c>
      <c r="B19">
        <f>SUMIFS(Records!$I$2:$I$500,Records!$D$2:$D$500,"&gt;="&amp;DATE(2026,9,1),Records!$D$2:$D$500,"&lt;="&amp;DATE(2026,9,DAY(EOMONTH(DATE(2026,9,1),0))))</f>
        <v/>
      </c>
      <c r="C19">
        <f>SUMIFS(Records!$J$2:$J$500,Records!$D$2:$D$500,"&gt;="&amp;DATE(2026,9,1),Records!$D$2:$D$500,"&lt;="&amp;DATE(2026,9,DAY(EOMONTH(DATE(2026,9,1),0))))</f>
        <v/>
      </c>
      <c r="D19">
        <f>IFERROR(C19/B19,"")</f>
        <v/>
      </c>
      <c r="I19" s="4" t="inlineStr">
        <is>
          <t>Team</t>
        </is>
      </c>
      <c r="J19" s="4" t="inlineStr">
        <is>
          <t>Rework</t>
        </is>
      </c>
    </row>
    <row r="20">
      <c r="A20" t="inlineStr">
        <is>
          <t>2026-10</t>
        </is>
      </c>
      <c r="B20">
        <f>SUMIFS(Records!$I$2:$I$500,Records!$D$2:$D$500,"&gt;="&amp;DATE(2026,10,1),Records!$D$2:$D$500,"&lt;="&amp;DATE(2026,10,DAY(EOMONTH(DATE(2026,10,1),0))))</f>
        <v/>
      </c>
      <c r="C20">
        <f>SUMIFS(Records!$J$2:$J$500,Records!$D$2:$D$500,"&gt;="&amp;DATE(2026,10,1),Records!$D$2:$D$500,"&lt;="&amp;DATE(2026,10,DAY(EOMONTH(DATE(2026,10,1),0))))</f>
        <v/>
      </c>
      <c r="D20">
        <f>IFERROR(C20/B20,"")</f>
        <v/>
      </c>
      <c r="I20" t="inlineStr">
        <is>
          <t>Team 1</t>
        </is>
      </c>
      <c r="J20">
        <f>COUNTIFS(Records!C2:C500,$I20,Records!K2:K500,"Yes")</f>
        <v/>
      </c>
    </row>
    <row r="21">
      <c r="A21" t="inlineStr">
        <is>
          <t>2026-11</t>
        </is>
      </c>
      <c r="B21">
        <f>SUMIFS(Records!$I$2:$I$500,Records!$D$2:$D$500,"&gt;="&amp;DATE(2026,11,1),Records!$D$2:$D$500,"&lt;="&amp;DATE(2026,11,DAY(EOMONTH(DATE(2026,11,1),0))))</f>
        <v/>
      </c>
      <c r="C21">
        <f>SUMIFS(Records!$J$2:$J$500,Records!$D$2:$D$500,"&gt;="&amp;DATE(2026,11,1),Records!$D$2:$D$500,"&lt;="&amp;DATE(2026,11,DAY(EOMONTH(DATE(2026,11,1),0))))</f>
        <v/>
      </c>
      <c r="D21">
        <f>IFERROR(C21/B21,"")</f>
        <v/>
      </c>
      <c r="I21" t="inlineStr">
        <is>
          <t>Team 2</t>
        </is>
      </c>
      <c r="J21">
        <f>COUNTIFS(Records!C2:C500,$I21,Records!K2:K500,"Yes")</f>
        <v/>
      </c>
    </row>
    <row r="22">
      <c r="A22" t="inlineStr">
        <is>
          <t>2026-12</t>
        </is>
      </c>
      <c r="B22">
        <f>SUMIFS(Records!$I$2:$I$500,Records!$D$2:$D$500,"&gt;="&amp;DATE(2026,12,1),Records!$D$2:$D$500,"&lt;="&amp;DATE(2026,12,DAY(EOMONTH(DATE(2026,12,1),0))))</f>
        <v/>
      </c>
      <c r="C22">
        <f>SUMIFS(Records!$J$2:$J$500,Records!$D$2:$D$500,"&gt;="&amp;DATE(2026,12,1),Records!$D$2:$D$500,"&lt;="&amp;DATE(2026,12,DAY(EOMONTH(DATE(2026,12,1),0))))</f>
        <v/>
      </c>
      <c r="D22">
        <f>IFERROR(C22/B22,"")</f>
        <v/>
      </c>
      <c r="I22" t="inlineStr">
        <is>
          <t>Team 3</t>
        </is>
      </c>
      <c r="J22">
        <f>COUNTIFS(Records!C2:C500,$I22,Records!K2:K500,"Yes")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5" t="inlineStr">
        <is>
          <t>Productivity History Dashboard</t>
        </is>
      </c>
    </row>
    <row r="3">
      <c r="A3" s="3" t="inlineStr">
        <is>
          <t>Indicators (KPIs)</t>
        </is>
      </c>
    </row>
    <row r="4">
      <c r="A4" s="4" t="inlineStr">
        <is>
          <t>Total Hours</t>
        </is>
      </c>
      <c r="B4">
        <f>Analyses!B3</f>
        <v/>
      </c>
    </row>
    <row r="5">
      <c r="A5" s="4" t="inlineStr">
        <is>
          <t>Total Completed Items</t>
        </is>
      </c>
      <c r="B5">
        <f>Analyses!B4</f>
        <v/>
      </c>
    </row>
    <row r="6">
      <c r="A6" s="4" t="inlineStr">
        <is>
          <t>Average Productivity (Items/Hour)</t>
        </is>
      </c>
      <c r="B6">
        <f>Analyses!B5</f>
        <v/>
      </c>
    </row>
    <row r="7">
      <c r="A7" s="4" t="inlineStr">
        <is>
          <t>Rework Rate (%)</t>
        </is>
      </c>
      <c r="B7">
        <f>Analyses!B6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Work Type</t>
        </is>
      </c>
      <c r="B1" s="6" t="inlineStr">
        <is>
          <t>Teams</t>
        </is>
      </c>
      <c r="C1" s="6" t="inlineStr">
        <is>
          <t>Status</t>
        </is>
      </c>
      <c r="D1" s="6" t="inlineStr">
        <is>
          <t>Change Type</t>
        </is>
      </c>
      <c r="E1" s="6" t="inlineStr">
        <is>
          <t>Yes/No</t>
        </is>
      </c>
    </row>
    <row r="2">
      <c r="A2" t="inlineStr">
        <is>
          <t>Development</t>
        </is>
      </c>
      <c r="B2" t="inlineStr">
        <is>
          <t>Team 1</t>
        </is>
      </c>
      <c r="C2" t="inlineStr">
        <is>
          <t>Completed</t>
        </is>
      </c>
      <c r="D2" t="inlineStr">
        <is>
          <t>Team Change</t>
        </is>
      </c>
      <c r="E2" t="inlineStr">
        <is>
          <t>Yes</t>
        </is>
      </c>
    </row>
    <row r="3">
      <c r="A3" t="inlineStr">
        <is>
          <t>Testing</t>
        </is>
      </c>
      <c r="B3" t="inlineStr">
        <is>
          <t>Team 2</t>
        </is>
      </c>
      <c r="C3" t="inlineStr">
        <is>
          <t>In Progress</t>
        </is>
      </c>
      <c r="D3" t="inlineStr">
        <is>
          <t>Process Change</t>
        </is>
      </c>
      <c r="E3" t="inlineStr">
        <is>
          <t>No</t>
        </is>
      </c>
    </row>
    <row r="4">
      <c r="A4" t="inlineStr">
        <is>
          <t>Meeting</t>
        </is>
      </c>
      <c r="B4" t="inlineStr">
        <is>
          <t>Team 3</t>
        </is>
      </c>
      <c r="C4" t="inlineStr">
        <is>
          <t>Blocked</t>
        </is>
      </c>
      <c r="D4" t="inlineStr">
        <is>
          <t>Tool Change</t>
        </is>
      </c>
    </row>
    <row r="5">
      <c r="A5" t="inlineStr">
        <is>
          <t>Fixing</t>
        </is>
      </c>
      <c r="D5" t="inlineStr">
        <is>
          <t>Other</t>
        </is>
      </c>
    </row>
    <row r="6">
      <c r="A6" t="inlineStr">
        <is>
          <t>Analysis</t>
        </is>
      </c>
    </row>
    <row r="7">
      <c r="A7" t="inlineStr">
        <is>
          <t>Documentation</t>
        </is>
      </c>
    </row>
    <row r="8">
      <c r="A8" t="inlineStr">
        <is>
          <t>Support</t>
        </is>
      </c>
    </row>
    <row r="9">
      <c r="A9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2026-06-06T17:20:29Z</dcterms:created>
  <dcterms:modified xsi:type="dcterms:W3CDTF">2026-06-06T17:20:29Z</dcterms:modified>
</cp:coreProperties>
</file>