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s" sheetId="1" state="visible" r:id="rId1"/>
    <sheet name="Defeitos" sheetId="2" state="visible" r:id="rId2"/>
    <sheet name="Dashboards" sheetId="3" state="visible" r:id="rId3"/>
  </sheets>
  <definedNames>
    <definedName name="_xlnm._FilterDatabase" localSheetId="1" hidden="1">'Defeitos'!$A$1:$AC$1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Severidade</a:t>
            </a:r>
          </a:p>
        </rich>
      </tx>
    </title>
    <plotArea>
      <pieChart>
        <varyColors val="1"/>
        <ser>
          <idx val="0"/>
          <order val="0"/>
          <tx>
            <strRef>
              <f>'Dashboards'!B6</f>
            </strRef>
          </tx>
          <spPr>
            <a:ln>
              <a:prstDash val="solid"/>
            </a:ln>
          </spPr>
          <cat>
            <numRef>
              <f>'Dashboards'!$A$7:$A$10</f>
            </numRef>
          </cat>
          <val>
            <numRef>
              <f>'Dashboards'!$B$7:$B$10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'Dashboards'!B14</f>
            </strRef>
          </tx>
          <spPr>
            <a:ln>
              <a:prstDash val="solid"/>
            </a:ln>
          </spPr>
          <cat>
            <numRef>
              <f>'Dashboards'!$A$15:$A$24</f>
            </numRef>
          </cat>
          <val>
            <numRef>
              <f>'Dashboards'!$B$15:$B$24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Fase de Introdução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'Dashboards'!B28</f>
            </strRef>
          </tx>
          <spPr>
            <a:ln>
              <a:prstDash val="solid"/>
            </a:ln>
          </spPr>
          <cat>
            <numRef>
              <f>'Dashboards'!$A$29:$A$35</f>
            </numRef>
          </cat>
          <val>
            <numRef>
              <f>'Dashboards'!$B$29:$B$35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Tendência Mensal (Identificados)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'Dashboards'!$D$7:$D$18</f>
            </numRef>
          </cat>
          <val>
            <numRef>
              <f>'Dashboards'!$E$7:$E$18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Módulo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'Dashboards'!E22</f>
            </strRef>
          </tx>
          <spPr>
            <a:ln>
              <a:prstDash val="solid"/>
            </a:ln>
          </spPr>
          <cat>
            <numRef>
              <f>'Dashboards'!$D$23:$D$32</f>
            </numRef>
          </cat>
          <val>
            <numRef>
              <f>'Dashboards'!$E$23:$E$32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34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4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19</row>
      <rowOff>0</rowOff>
    </from>
    <ext cx="54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Ambiente</t>
        </is>
      </c>
      <c r="B1" s="1" t="inlineStr">
        <is>
          <t>Origem do Defeito</t>
        </is>
      </c>
      <c r="C1" s="1" t="inlineStr">
        <is>
          <t>Fase de Introdução</t>
        </is>
      </c>
      <c r="D1" s="1" t="inlineStr">
        <is>
          <t>Fase de Detecção</t>
        </is>
      </c>
      <c r="E1" s="1" t="inlineStr">
        <is>
          <t>Tipo do Defeito</t>
        </is>
      </c>
      <c r="F1" s="1" t="inlineStr">
        <is>
          <t>Severidade</t>
        </is>
      </c>
      <c r="G1" s="1" t="inlineStr">
        <is>
          <t>Prioridade</t>
        </is>
      </c>
      <c r="H1" s="1" t="inlineStr">
        <is>
          <t>Impacto no Negócio</t>
        </is>
      </c>
      <c r="I1" s="1" t="inlineStr">
        <is>
          <t>Status</t>
        </is>
      </c>
      <c r="J1" s="1" t="inlineStr">
        <is>
          <t>Necessitou Retrabalho?</t>
        </is>
      </c>
    </row>
    <row r="2">
      <c r="A2" t="inlineStr">
        <is>
          <t>Desenvolvimento</t>
        </is>
      </c>
      <c r="B2" t="inlineStr">
        <is>
          <t>Requisito</t>
        </is>
      </c>
      <c r="C2" t="inlineStr">
        <is>
          <t>Requisitos</t>
        </is>
      </c>
      <c r="D2" t="inlineStr">
        <is>
          <t>Requisitos</t>
        </is>
      </c>
      <c r="E2" t="inlineStr">
        <is>
          <t>Funcional</t>
        </is>
      </c>
      <c r="F2" t="inlineStr">
        <is>
          <t>Crítica</t>
        </is>
      </c>
      <c r="G2" t="inlineStr">
        <is>
          <t>Alta</t>
        </is>
      </c>
      <c r="H2" t="inlineStr">
        <is>
          <t>Alto</t>
        </is>
      </c>
      <c r="I2" t="inlineStr">
        <is>
          <t>Aberto</t>
        </is>
      </c>
      <c r="J2" t="inlineStr">
        <is>
          <t>Sim</t>
        </is>
      </c>
    </row>
    <row r="3">
      <c r="A3" t="inlineStr">
        <is>
          <t>Homologação</t>
        </is>
      </c>
      <c r="B3" t="inlineStr">
        <is>
          <t>Design</t>
        </is>
      </c>
      <c r="C3" t="inlineStr">
        <is>
          <t>Design</t>
        </is>
      </c>
      <c r="D3" t="inlineStr">
        <is>
          <t>Design</t>
        </is>
      </c>
      <c r="E3" t="inlineStr">
        <is>
          <t>Interface</t>
        </is>
      </c>
      <c r="F3" t="inlineStr">
        <is>
          <t>Alta</t>
        </is>
      </c>
      <c r="G3" t="inlineStr">
        <is>
          <t>Média</t>
        </is>
      </c>
      <c r="H3" t="inlineStr">
        <is>
          <t>Médio</t>
        </is>
      </c>
      <c r="I3" t="inlineStr">
        <is>
          <t>Em Análise</t>
        </is>
      </c>
      <c r="J3" t="inlineStr">
        <is>
          <t>Não</t>
        </is>
      </c>
    </row>
    <row r="4">
      <c r="A4" t="inlineStr">
        <is>
          <t>Produção</t>
        </is>
      </c>
      <c r="B4" t="inlineStr">
        <is>
          <t>Codificação</t>
        </is>
      </c>
      <c r="C4" t="inlineStr">
        <is>
          <t>Codificação</t>
        </is>
      </c>
      <c r="D4" t="inlineStr">
        <is>
          <t>Codificação</t>
        </is>
      </c>
      <c r="E4" t="inlineStr">
        <is>
          <t>Desempenho</t>
        </is>
      </c>
      <c r="F4" t="inlineStr">
        <is>
          <t>Média</t>
        </is>
      </c>
      <c r="G4" t="inlineStr">
        <is>
          <t>Baixa</t>
        </is>
      </c>
      <c r="H4" t="inlineStr">
        <is>
          <t>Baixo</t>
        </is>
      </c>
      <c r="I4" t="inlineStr">
        <is>
          <t>Em Correção</t>
        </is>
      </c>
    </row>
    <row r="5">
      <c r="B5" t="inlineStr">
        <is>
          <t>Integração</t>
        </is>
      </c>
      <c r="C5" t="inlineStr">
        <is>
          <t>Integração</t>
        </is>
      </c>
      <c r="D5" t="inlineStr">
        <is>
          <t>Integração</t>
        </is>
      </c>
      <c r="E5" t="inlineStr">
        <is>
          <t>Segurança</t>
        </is>
      </c>
      <c r="F5" t="inlineStr">
        <is>
          <t>Baixa</t>
        </is>
      </c>
      <c r="I5" t="inlineStr">
        <is>
          <t>Em Reteste</t>
        </is>
      </c>
    </row>
    <row r="6">
      <c r="B6" t="inlineStr">
        <is>
          <t>Teste</t>
        </is>
      </c>
      <c r="C6" t="inlineStr">
        <is>
          <t>Teste</t>
        </is>
      </c>
      <c r="D6" t="inlineStr">
        <is>
          <t>Teste</t>
        </is>
      </c>
      <c r="E6" t="inlineStr">
        <is>
          <t>Usabilidade</t>
        </is>
      </c>
      <c r="I6" t="inlineStr">
        <is>
          <t>Fechado</t>
        </is>
      </c>
    </row>
    <row r="7">
      <c r="B7" t="inlineStr">
        <is>
          <t>Implantação</t>
        </is>
      </c>
      <c r="C7" t="inlineStr">
        <is>
          <t>Implantação</t>
        </is>
      </c>
      <c r="D7" t="inlineStr">
        <is>
          <t>Implantação</t>
        </is>
      </c>
      <c r="E7" t="inlineStr">
        <is>
          <t>Compatibilidade</t>
        </is>
      </c>
      <c r="I7" t="inlineStr">
        <is>
          <t>Cancelado</t>
        </is>
      </c>
    </row>
    <row r="8">
      <c r="C8" t="inlineStr">
        <is>
          <t>Produção</t>
        </is>
      </c>
      <c r="D8" t="inlineStr">
        <is>
          <t>Produção</t>
        </is>
      </c>
      <c r="E8" t="inlineStr">
        <is>
          <t>Documentação</t>
        </is>
      </c>
    </row>
    <row r="9">
      <c r="E9" t="inlineStr">
        <is>
          <t>Dados</t>
        </is>
      </c>
    </row>
    <row r="10">
      <c r="E10" t="inlineStr">
        <is>
          <t>Infraestrutura</t>
        </is>
      </c>
    </row>
    <row r="11">
      <c r="E11" t="inlineStr">
        <is>
          <t>Outro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19" customWidth="1" min="5" max="5"/>
    <col width="21" customWidth="1" min="6" max="6"/>
    <col width="23" customWidth="1" min="7" max="7"/>
    <col width="14" customWidth="1" min="8" max="8"/>
    <col width="19" customWidth="1" min="9" max="9"/>
    <col width="31" customWidth="1" min="10" max="10"/>
    <col width="29" customWidth="1" min="11" max="11"/>
    <col width="17" customWidth="1" min="12" max="12"/>
    <col width="20" customWidth="1" min="13" max="13"/>
    <col width="14" customWidth="1" min="14" max="14"/>
    <col width="14" customWidth="1" min="15" max="15"/>
    <col width="20" customWidth="1" min="16" max="16"/>
    <col width="27" customWidth="1" min="17" max="17"/>
    <col width="18" customWidth="1" min="18" max="18"/>
    <col width="14" customWidth="1" min="19" max="19"/>
    <col width="28" customWidth="1" min="20" max="20"/>
    <col width="24" customWidth="1" min="21" max="21"/>
    <col width="14" customWidth="1" min="22" max="22"/>
    <col width="16" customWidth="1" min="23" max="23"/>
    <col width="17" customWidth="1" min="24" max="24"/>
    <col width="17" customWidth="1" min="25" max="25"/>
    <col width="14" customWidth="1" min="26" max="26"/>
    <col width="31" customWidth="1" min="27" max="27"/>
    <col width="34" customWidth="1" min="28" max="28"/>
    <col width="34" customWidth="1" min="29" max="29"/>
  </cols>
  <sheetData>
    <row r="1" ht="30" customHeight="1">
      <c r="A1" s="2" t="inlineStr">
        <is>
          <t>ID do Defeito</t>
        </is>
      </c>
      <c r="B1" s="2" t="inlineStr">
        <is>
          <t>Data de Identificação</t>
        </is>
      </c>
      <c r="C1" s="2" t="inlineStr">
        <is>
          <t>Projeto</t>
        </is>
      </c>
      <c r="D1" s="2" t="inlineStr">
        <is>
          <t>Versão</t>
        </is>
      </c>
      <c r="E1" s="2" t="inlineStr">
        <is>
          <t>Sprint / Iteração</t>
        </is>
      </c>
      <c r="F1" s="2" t="inlineStr">
        <is>
          <t>Módulo / Componente</t>
        </is>
      </c>
      <c r="G1" s="2" t="inlineStr">
        <is>
          <t>Requisito Relacionado</t>
        </is>
      </c>
      <c r="H1" s="2" t="inlineStr">
        <is>
          <t>Ambiente</t>
        </is>
      </c>
      <c r="I1" s="2" t="inlineStr">
        <is>
          <t>Origem do Defeito</t>
        </is>
      </c>
      <c r="J1" s="2" t="inlineStr">
        <is>
          <t>Fase de Introdução do Defeito</t>
        </is>
      </c>
      <c r="K1" s="2" t="inlineStr">
        <is>
          <t>Fase de Detecção do Defeito</t>
        </is>
      </c>
      <c r="L1" s="2" t="inlineStr">
        <is>
          <t>Tipo do Defeito</t>
        </is>
      </c>
      <c r="M1" s="2" t="inlineStr">
        <is>
          <t>Descrição Resumida</t>
        </is>
      </c>
      <c r="N1" s="2" t="inlineStr">
        <is>
          <t>Severidade</t>
        </is>
      </c>
      <c r="O1" s="2" t="inlineStr">
        <is>
          <t>Prioridade</t>
        </is>
      </c>
      <c r="P1" s="2" t="inlineStr">
        <is>
          <t>Impacto no Negócio</t>
        </is>
      </c>
      <c r="Q1" s="2" t="inlineStr">
        <is>
          <t>Responsável pela Correção</t>
        </is>
      </c>
      <c r="R1" s="2" t="inlineStr">
        <is>
          <t>Data de Correção</t>
        </is>
      </c>
      <c r="S1" s="2" t="inlineStr">
        <is>
          <t>Status</t>
        </is>
      </c>
      <c r="T1" s="2" t="inlineStr">
        <is>
          <t>Tempo para Correção (dias)</t>
        </is>
      </c>
      <c r="U1" s="2" t="inlineStr">
        <is>
          <t>Necessitou Retrabalho?</t>
        </is>
      </c>
      <c r="V1" s="2" t="inlineStr">
        <is>
          <t>Causa Raiz</t>
        </is>
      </c>
      <c r="W1" s="2" t="inlineStr">
        <is>
          <t>Ação Corretiva</t>
        </is>
      </c>
      <c r="X1" s="2" t="inlineStr">
        <is>
          <t>Ação Preventiva</t>
        </is>
      </c>
      <c r="Y1" s="2" t="inlineStr">
        <is>
          <t>Lição Aprendida</t>
        </is>
      </c>
      <c r="Z1" s="2" t="inlineStr">
        <is>
          <t>Observações</t>
        </is>
      </c>
      <c r="AA1" s="2" t="inlineStr">
        <is>
          <t>Tempo Gasto na Correção (min)</t>
        </is>
      </c>
      <c r="AB1" s="2" t="inlineStr">
        <is>
          <t>Fase em que Deveria Ter Sido Removido</t>
        </is>
      </c>
      <c r="AC1" s="2" t="inlineStr">
        <is>
          <t>Linhas Alteradas na Correção (LOC)</t>
        </is>
      </c>
    </row>
    <row r="2">
      <c r="T2">
        <f>IF(AND(B2&lt;&gt;"",R2&lt;&gt;""),R2-B2,"")</f>
        <v/>
      </c>
    </row>
    <row r="3">
      <c r="T3">
        <f>IF(AND(B3&lt;&gt;"",R3&lt;&gt;""),R3-B3,"")</f>
        <v/>
      </c>
    </row>
    <row r="4">
      <c r="T4">
        <f>IF(AND(B4&lt;&gt;"",R4&lt;&gt;""),R4-B4,"")</f>
        <v/>
      </c>
    </row>
    <row r="5">
      <c r="T5">
        <f>IF(AND(B5&lt;&gt;"",R5&lt;&gt;""),R5-B5,"")</f>
        <v/>
      </c>
    </row>
    <row r="6">
      <c r="T6">
        <f>IF(AND(B6&lt;&gt;"",R6&lt;&gt;""),R6-B6,"")</f>
        <v/>
      </c>
    </row>
    <row r="7">
      <c r="T7">
        <f>IF(AND(B7&lt;&gt;"",R7&lt;&gt;""),R7-B7,"")</f>
        <v/>
      </c>
    </row>
    <row r="8">
      <c r="T8">
        <f>IF(AND(B8&lt;&gt;"",R8&lt;&gt;""),R8-B8,"")</f>
        <v/>
      </c>
    </row>
    <row r="9">
      <c r="T9">
        <f>IF(AND(B9&lt;&gt;"",R9&lt;&gt;""),R9-B9,"")</f>
        <v/>
      </c>
    </row>
    <row r="10">
      <c r="T10">
        <f>IF(AND(B10&lt;&gt;"",R10&lt;&gt;""),R10-B10,"")</f>
        <v/>
      </c>
    </row>
    <row r="11">
      <c r="T11">
        <f>IF(AND(B11&lt;&gt;"",R11&lt;&gt;""),R11-B11,"")</f>
        <v/>
      </c>
    </row>
    <row r="12">
      <c r="T12">
        <f>IF(AND(B12&lt;&gt;"",R12&lt;&gt;""),R12-B12,"")</f>
        <v/>
      </c>
    </row>
    <row r="13">
      <c r="T13">
        <f>IF(AND(B13&lt;&gt;"",R13&lt;&gt;""),R13-B13,"")</f>
        <v/>
      </c>
    </row>
    <row r="14">
      <c r="T14">
        <f>IF(AND(B14&lt;&gt;"",R14&lt;&gt;""),R14-B14,"")</f>
        <v/>
      </c>
    </row>
    <row r="15">
      <c r="T15">
        <f>IF(AND(B15&lt;&gt;"",R15&lt;&gt;""),R15-B15,"")</f>
        <v/>
      </c>
    </row>
    <row r="16">
      <c r="T16">
        <f>IF(AND(B16&lt;&gt;"",R16&lt;&gt;""),R16-B16,"")</f>
        <v/>
      </c>
    </row>
    <row r="17">
      <c r="T17">
        <f>IF(AND(B17&lt;&gt;"",R17&lt;&gt;""),R17-B17,"")</f>
        <v/>
      </c>
    </row>
    <row r="18">
      <c r="T18">
        <f>IF(AND(B18&lt;&gt;"",R18&lt;&gt;""),R18-B18,"")</f>
        <v/>
      </c>
    </row>
    <row r="19">
      <c r="T19">
        <f>IF(AND(B19&lt;&gt;"",R19&lt;&gt;""),R19-B19,"")</f>
        <v/>
      </c>
    </row>
    <row r="20">
      <c r="T20">
        <f>IF(AND(B20&lt;&gt;"",R20&lt;&gt;""),R20-B20,"")</f>
        <v/>
      </c>
    </row>
    <row r="21">
      <c r="T21">
        <f>IF(AND(B21&lt;&gt;"",R21&lt;&gt;""),R21-B21,"")</f>
        <v/>
      </c>
    </row>
    <row r="22">
      <c r="T22">
        <f>IF(AND(B22&lt;&gt;"",R22&lt;&gt;""),R22-B22,"")</f>
        <v/>
      </c>
    </row>
    <row r="23">
      <c r="T23">
        <f>IF(AND(B23&lt;&gt;"",R23&lt;&gt;""),R23-B23,"")</f>
        <v/>
      </c>
    </row>
    <row r="24">
      <c r="T24">
        <f>IF(AND(B24&lt;&gt;"",R24&lt;&gt;""),R24-B24,"")</f>
        <v/>
      </c>
    </row>
    <row r="25">
      <c r="T25">
        <f>IF(AND(B25&lt;&gt;"",R25&lt;&gt;""),R25-B25,"")</f>
        <v/>
      </c>
    </row>
    <row r="26">
      <c r="T26">
        <f>IF(AND(B26&lt;&gt;"",R26&lt;&gt;""),R26-B26,"")</f>
        <v/>
      </c>
    </row>
    <row r="27">
      <c r="T27">
        <f>IF(AND(B27&lt;&gt;"",R27&lt;&gt;""),R27-B27,"")</f>
        <v/>
      </c>
    </row>
    <row r="28">
      <c r="T28">
        <f>IF(AND(B28&lt;&gt;"",R28&lt;&gt;""),R28-B28,"")</f>
        <v/>
      </c>
    </row>
    <row r="29">
      <c r="T29">
        <f>IF(AND(B29&lt;&gt;"",R29&lt;&gt;""),R29-B29,"")</f>
        <v/>
      </c>
    </row>
    <row r="30">
      <c r="T30">
        <f>IF(AND(B30&lt;&gt;"",R30&lt;&gt;""),R30-B30,"")</f>
        <v/>
      </c>
    </row>
    <row r="31">
      <c r="T31">
        <f>IF(AND(B31&lt;&gt;"",R31&lt;&gt;""),R31-B31,"")</f>
        <v/>
      </c>
    </row>
    <row r="32">
      <c r="T32">
        <f>IF(AND(B32&lt;&gt;"",R32&lt;&gt;""),R32-B32,"")</f>
        <v/>
      </c>
    </row>
    <row r="33">
      <c r="T33">
        <f>IF(AND(B33&lt;&gt;"",R33&lt;&gt;""),R33-B33,"")</f>
        <v/>
      </c>
    </row>
    <row r="34">
      <c r="T34">
        <f>IF(AND(B34&lt;&gt;"",R34&lt;&gt;""),R34-B34,"")</f>
        <v/>
      </c>
    </row>
    <row r="35">
      <c r="T35">
        <f>IF(AND(B35&lt;&gt;"",R35&lt;&gt;""),R35-B35,"")</f>
        <v/>
      </c>
    </row>
    <row r="36">
      <c r="T36">
        <f>IF(AND(B36&lt;&gt;"",R36&lt;&gt;""),R36-B36,"")</f>
        <v/>
      </c>
    </row>
    <row r="37">
      <c r="T37">
        <f>IF(AND(B37&lt;&gt;"",R37&lt;&gt;""),R37-B37,"")</f>
        <v/>
      </c>
    </row>
    <row r="38">
      <c r="T38">
        <f>IF(AND(B38&lt;&gt;"",R38&lt;&gt;""),R38-B38,"")</f>
        <v/>
      </c>
    </row>
    <row r="39">
      <c r="T39">
        <f>IF(AND(B39&lt;&gt;"",R39&lt;&gt;""),R39-B39,"")</f>
        <v/>
      </c>
    </row>
    <row r="40">
      <c r="T40">
        <f>IF(AND(B40&lt;&gt;"",R40&lt;&gt;""),R40-B40,"")</f>
        <v/>
      </c>
    </row>
    <row r="41">
      <c r="T41">
        <f>IF(AND(B41&lt;&gt;"",R41&lt;&gt;""),R41-B41,"")</f>
        <v/>
      </c>
    </row>
    <row r="42">
      <c r="T42">
        <f>IF(AND(B42&lt;&gt;"",R42&lt;&gt;""),R42-B42,"")</f>
        <v/>
      </c>
    </row>
    <row r="43">
      <c r="T43">
        <f>IF(AND(B43&lt;&gt;"",R43&lt;&gt;""),R43-B43,"")</f>
        <v/>
      </c>
    </row>
    <row r="44">
      <c r="T44">
        <f>IF(AND(B44&lt;&gt;"",R44&lt;&gt;""),R44-B44,"")</f>
        <v/>
      </c>
    </row>
    <row r="45">
      <c r="T45">
        <f>IF(AND(B45&lt;&gt;"",R45&lt;&gt;""),R45-B45,"")</f>
        <v/>
      </c>
    </row>
    <row r="46">
      <c r="T46">
        <f>IF(AND(B46&lt;&gt;"",R46&lt;&gt;""),R46-B46,"")</f>
        <v/>
      </c>
    </row>
    <row r="47">
      <c r="T47">
        <f>IF(AND(B47&lt;&gt;"",R47&lt;&gt;""),R47-B47,"")</f>
        <v/>
      </c>
    </row>
    <row r="48">
      <c r="T48">
        <f>IF(AND(B48&lt;&gt;"",R48&lt;&gt;""),R48-B48,"")</f>
        <v/>
      </c>
    </row>
    <row r="49">
      <c r="T49">
        <f>IF(AND(B49&lt;&gt;"",R49&lt;&gt;""),R49-B49,"")</f>
        <v/>
      </c>
    </row>
    <row r="50">
      <c r="T50">
        <f>IF(AND(B50&lt;&gt;"",R50&lt;&gt;""),R50-B50,"")</f>
        <v/>
      </c>
    </row>
    <row r="51">
      <c r="T51">
        <f>IF(AND(B51&lt;&gt;"",R51&lt;&gt;""),R51-B51,"")</f>
        <v/>
      </c>
    </row>
    <row r="52">
      <c r="T52">
        <f>IF(AND(B52&lt;&gt;"",R52&lt;&gt;""),R52-B52,"")</f>
        <v/>
      </c>
    </row>
    <row r="53">
      <c r="T53">
        <f>IF(AND(B53&lt;&gt;"",R53&lt;&gt;""),R53-B53,"")</f>
        <v/>
      </c>
    </row>
    <row r="54">
      <c r="T54">
        <f>IF(AND(B54&lt;&gt;"",R54&lt;&gt;""),R54-B54,"")</f>
        <v/>
      </c>
    </row>
    <row r="55">
      <c r="T55">
        <f>IF(AND(B55&lt;&gt;"",R55&lt;&gt;""),R55-B55,"")</f>
        <v/>
      </c>
    </row>
    <row r="56">
      <c r="T56">
        <f>IF(AND(B56&lt;&gt;"",R56&lt;&gt;""),R56-B56,"")</f>
        <v/>
      </c>
    </row>
    <row r="57">
      <c r="T57">
        <f>IF(AND(B57&lt;&gt;"",R57&lt;&gt;""),R57-B57,"")</f>
        <v/>
      </c>
    </row>
    <row r="58">
      <c r="T58">
        <f>IF(AND(B58&lt;&gt;"",R58&lt;&gt;""),R58-B58,"")</f>
        <v/>
      </c>
    </row>
    <row r="59">
      <c r="T59">
        <f>IF(AND(B59&lt;&gt;"",R59&lt;&gt;""),R59-B59,"")</f>
        <v/>
      </c>
    </row>
    <row r="60">
      <c r="T60">
        <f>IF(AND(B60&lt;&gt;"",R60&lt;&gt;""),R60-B60,"")</f>
        <v/>
      </c>
    </row>
    <row r="61">
      <c r="T61">
        <f>IF(AND(B61&lt;&gt;"",R61&lt;&gt;""),R61-B61,"")</f>
        <v/>
      </c>
    </row>
    <row r="62">
      <c r="T62">
        <f>IF(AND(B62&lt;&gt;"",R62&lt;&gt;""),R62-B62,"")</f>
        <v/>
      </c>
    </row>
    <row r="63">
      <c r="T63">
        <f>IF(AND(B63&lt;&gt;"",R63&lt;&gt;""),R63-B63,"")</f>
        <v/>
      </c>
    </row>
    <row r="64">
      <c r="T64">
        <f>IF(AND(B64&lt;&gt;"",R64&lt;&gt;""),R64-B64,"")</f>
        <v/>
      </c>
    </row>
    <row r="65">
      <c r="T65">
        <f>IF(AND(B65&lt;&gt;"",R65&lt;&gt;""),R65-B65,"")</f>
        <v/>
      </c>
    </row>
    <row r="66">
      <c r="T66">
        <f>IF(AND(B66&lt;&gt;"",R66&lt;&gt;""),R66-B66,"")</f>
        <v/>
      </c>
    </row>
    <row r="67">
      <c r="T67">
        <f>IF(AND(B67&lt;&gt;"",R67&lt;&gt;""),R67-B67,"")</f>
        <v/>
      </c>
    </row>
    <row r="68">
      <c r="T68">
        <f>IF(AND(B68&lt;&gt;"",R68&lt;&gt;""),R68-B68,"")</f>
        <v/>
      </c>
    </row>
    <row r="69">
      <c r="T69">
        <f>IF(AND(B69&lt;&gt;"",R69&lt;&gt;""),R69-B69,"")</f>
        <v/>
      </c>
    </row>
    <row r="70">
      <c r="T70">
        <f>IF(AND(B70&lt;&gt;"",R70&lt;&gt;""),R70-B70,"")</f>
        <v/>
      </c>
    </row>
    <row r="71">
      <c r="T71">
        <f>IF(AND(B71&lt;&gt;"",R71&lt;&gt;""),R71-B71,"")</f>
        <v/>
      </c>
    </row>
    <row r="72">
      <c r="T72">
        <f>IF(AND(B72&lt;&gt;"",R72&lt;&gt;""),R72-B72,"")</f>
        <v/>
      </c>
    </row>
    <row r="73">
      <c r="T73">
        <f>IF(AND(B73&lt;&gt;"",R73&lt;&gt;""),R73-B73,"")</f>
        <v/>
      </c>
    </row>
    <row r="74">
      <c r="T74">
        <f>IF(AND(B74&lt;&gt;"",R74&lt;&gt;""),R74-B74,"")</f>
        <v/>
      </c>
    </row>
    <row r="75">
      <c r="T75">
        <f>IF(AND(B75&lt;&gt;"",R75&lt;&gt;""),R75-B75,"")</f>
        <v/>
      </c>
    </row>
    <row r="76">
      <c r="T76">
        <f>IF(AND(B76&lt;&gt;"",R76&lt;&gt;""),R76-B76,"")</f>
        <v/>
      </c>
    </row>
    <row r="77">
      <c r="T77">
        <f>IF(AND(B77&lt;&gt;"",R77&lt;&gt;""),R77-B77,"")</f>
        <v/>
      </c>
    </row>
    <row r="78">
      <c r="T78">
        <f>IF(AND(B78&lt;&gt;"",R78&lt;&gt;""),R78-B78,"")</f>
        <v/>
      </c>
    </row>
    <row r="79">
      <c r="T79">
        <f>IF(AND(B79&lt;&gt;"",R79&lt;&gt;""),R79-B79,"")</f>
        <v/>
      </c>
    </row>
    <row r="80">
      <c r="T80">
        <f>IF(AND(B80&lt;&gt;"",R80&lt;&gt;""),R80-B80,"")</f>
        <v/>
      </c>
    </row>
    <row r="81">
      <c r="T81">
        <f>IF(AND(B81&lt;&gt;"",R81&lt;&gt;""),R81-B81,"")</f>
        <v/>
      </c>
    </row>
    <row r="82">
      <c r="T82">
        <f>IF(AND(B82&lt;&gt;"",R82&lt;&gt;""),R82-B82,"")</f>
        <v/>
      </c>
    </row>
    <row r="83">
      <c r="T83">
        <f>IF(AND(B83&lt;&gt;"",R83&lt;&gt;""),R83-B83,"")</f>
        <v/>
      </c>
    </row>
    <row r="84">
      <c r="T84">
        <f>IF(AND(B84&lt;&gt;"",R84&lt;&gt;""),R84-B84,"")</f>
        <v/>
      </c>
    </row>
    <row r="85">
      <c r="T85">
        <f>IF(AND(B85&lt;&gt;"",R85&lt;&gt;""),R85-B85,"")</f>
        <v/>
      </c>
    </row>
    <row r="86">
      <c r="T86">
        <f>IF(AND(B86&lt;&gt;"",R86&lt;&gt;""),R86-B86,"")</f>
        <v/>
      </c>
    </row>
    <row r="87">
      <c r="T87">
        <f>IF(AND(B87&lt;&gt;"",R87&lt;&gt;""),R87-B87,"")</f>
        <v/>
      </c>
    </row>
    <row r="88">
      <c r="T88">
        <f>IF(AND(B88&lt;&gt;"",R88&lt;&gt;""),R88-B88,"")</f>
        <v/>
      </c>
    </row>
    <row r="89">
      <c r="T89">
        <f>IF(AND(B89&lt;&gt;"",R89&lt;&gt;""),R89-B89,"")</f>
        <v/>
      </c>
    </row>
    <row r="90">
      <c r="T90">
        <f>IF(AND(B90&lt;&gt;"",R90&lt;&gt;""),R90-B90,"")</f>
        <v/>
      </c>
    </row>
    <row r="91">
      <c r="T91">
        <f>IF(AND(B91&lt;&gt;"",R91&lt;&gt;""),R91-B91,"")</f>
        <v/>
      </c>
    </row>
    <row r="92">
      <c r="T92">
        <f>IF(AND(B92&lt;&gt;"",R92&lt;&gt;""),R92-B92,"")</f>
        <v/>
      </c>
    </row>
    <row r="93">
      <c r="T93">
        <f>IF(AND(B93&lt;&gt;"",R93&lt;&gt;""),R93-B93,"")</f>
        <v/>
      </c>
    </row>
    <row r="94">
      <c r="T94">
        <f>IF(AND(B94&lt;&gt;"",R94&lt;&gt;""),R94-B94,"")</f>
        <v/>
      </c>
    </row>
    <row r="95">
      <c r="T95">
        <f>IF(AND(B95&lt;&gt;"",R95&lt;&gt;""),R95-B95,"")</f>
        <v/>
      </c>
    </row>
    <row r="96">
      <c r="T96">
        <f>IF(AND(B96&lt;&gt;"",R96&lt;&gt;""),R96-B96,"")</f>
        <v/>
      </c>
    </row>
    <row r="97">
      <c r="T97">
        <f>IF(AND(B97&lt;&gt;"",R97&lt;&gt;""),R97-B97,"")</f>
        <v/>
      </c>
    </row>
    <row r="98">
      <c r="T98">
        <f>IF(AND(B98&lt;&gt;"",R98&lt;&gt;""),R98-B98,"")</f>
        <v/>
      </c>
    </row>
    <row r="99">
      <c r="T99">
        <f>IF(AND(B99&lt;&gt;"",R99&lt;&gt;""),R99-B99,"")</f>
        <v/>
      </c>
    </row>
    <row r="100">
      <c r="T100">
        <f>IF(AND(B100&lt;&gt;"",R100&lt;&gt;""),R100-B100,"")</f>
        <v/>
      </c>
    </row>
    <row r="101">
      <c r="T101">
        <f>IF(AND(B101&lt;&gt;"",R101&lt;&gt;""),R101-B101,"")</f>
        <v/>
      </c>
    </row>
    <row r="102">
      <c r="T102">
        <f>IF(AND(B102&lt;&gt;"",R102&lt;&gt;""),R102-B102,"")</f>
        <v/>
      </c>
    </row>
    <row r="103">
      <c r="T103">
        <f>IF(AND(B103&lt;&gt;"",R103&lt;&gt;""),R103-B103,"")</f>
        <v/>
      </c>
    </row>
    <row r="104">
      <c r="T104">
        <f>IF(AND(B104&lt;&gt;"",R104&lt;&gt;""),R104-B104,"")</f>
        <v/>
      </c>
    </row>
    <row r="105">
      <c r="T105">
        <f>IF(AND(B105&lt;&gt;"",R105&lt;&gt;""),R105-B105,"")</f>
        <v/>
      </c>
    </row>
    <row r="106">
      <c r="T106">
        <f>IF(AND(B106&lt;&gt;"",R106&lt;&gt;""),R106-B106,"")</f>
        <v/>
      </c>
    </row>
    <row r="107">
      <c r="T107">
        <f>IF(AND(B107&lt;&gt;"",R107&lt;&gt;""),R107-B107,"")</f>
        <v/>
      </c>
    </row>
    <row r="108">
      <c r="T108">
        <f>IF(AND(B108&lt;&gt;"",R108&lt;&gt;""),R108-B108,"")</f>
        <v/>
      </c>
    </row>
    <row r="109">
      <c r="T109">
        <f>IF(AND(B109&lt;&gt;"",R109&lt;&gt;""),R109-B109,"")</f>
        <v/>
      </c>
    </row>
    <row r="110">
      <c r="T110">
        <f>IF(AND(B110&lt;&gt;"",R110&lt;&gt;""),R110-B110,"")</f>
        <v/>
      </c>
    </row>
    <row r="111">
      <c r="T111">
        <f>IF(AND(B111&lt;&gt;"",R111&lt;&gt;""),R111-B111,"")</f>
        <v/>
      </c>
    </row>
    <row r="112">
      <c r="T112">
        <f>IF(AND(B112&lt;&gt;"",R112&lt;&gt;""),R112-B112,"")</f>
        <v/>
      </c>
    </row>
    <row r="113">
      <c r="T113">
        <f>IF(AND(B113&lt;&gt;"",R113&lt;&gt;""),R113-B113,"")</f>
        <v/>
      </c>
    </row>
    <row r="114">
      <c r="T114">
        <f>IF(AND(B114&lt;&gt;"",R114&lt;&gt;""),R114-B114,"")</f>
        <v/>
      </c>
    </row>
    <row r="115">
      <c r="T115">
        <f>IF(AND(B115&lt;&gt;"",R115&lt;&gt;""),R115-B115,"")</f>
        <v/>
      </c>
    </row>
    <row r="116">
      <c r="T116">
        <f>IF(AND(B116&lt;&gt;"",R116&lt;&gt;""),R116-B116,"")</f>
        <v/>
      </c>
    </row>
    <row r="117">
      <c r="T117">
        <f>IF(AND(B117&lt;&gt;"",R117&lt;&gt;""),R117-B117,"")</f>
        <v/>
      </c>
    </row>
    <row r="118">
      <c r="T118">
        <f>IF(AND(B118&lt;&gt;"",R118&lt;&gt;""),R118-B118,"")</f>
        <v/>
      </c>
    </row>
    <row r="119">
      <c r="T119">
        <f>IF(AND(B119&lt;&gt;"",R119&lt;&gt;""),R119-B119,"")</f>
        <v/>
      </c>
    </row>
    <row r="120">
      <c r="T120">
        <f>IF(AND(B120&lt;&gt;"",R120&lt;&gt;""),R120-B120,"")</f>
        <v/>
      </c>
    </row>
    <row r="121">
      <c r="T121">
        <f>IF(AND(B121&lt;&gt;"",R121&lt;&gt;""),R121-B121,"")</f>
        <v/>
      </c>
    </row>
    <row r="122">
      <c r="T122">
        <f>IF(AND(B122&lt;&gt;"",R122&lt;&gt;""),R122-B122,"")</f>
        <v/>
      </c>
    </row>
    <row r="123">
      <c r="T123">
        <f>IF(AND(B123&lt;&gt;"",R123&lt;&gt;""),R123-B123,"")</f>
        <v/>
      </c>
    </row>
    <row r="124">
      <c r="T124">
        <f>IF(AND(B124&lt;&gt;"",R124&lt;&gt;""),R124-B124,"")</f>
        <v/>
      </c>
    </row>
    <row r="125">
      <c r="T125">
        <f>IF(AND(B125&lt;&gt;"",R125&lt;&gt;""),R125-B125,"")</f>
        <v/>
      </c>
    </row>
    <row r="126">
      <c r="T126">
        <f>IF(AND(B126&lt;&gt;"",R126&lt;&gt;""),R126-B126,"")</f>
        <v/>
      </c>
    </row>
    <row r="127">
      <c r="T127">
        <f>IF(AND(B127&lt;&gt;"",R127&lt;&gt;""),R127-B127,"")</f>
        <v/>
      </c>
    </row>
    <row r="128">
      <c r="T128">
        <f>IF(AND(B128&lt;&gt;"",R128&lt;&gt;""),R128-B128,"")</f>
        <v/>
      </c>
    </row>
    <row r="129">
      <c r="T129">
        <f>IF(AND(B129&lt;&gt;"",R129&lt;&gt;""),R129-B129,"")</f>
        <v/>
      </c>
    </row>
    <row r="130">
      <c r="T130">
        <f>IF(AND(B130&lt;&gt;"",R130&lt;&gt;""),R130-B130,"")</f>
        <v/>
      </c>
    </row>
    <row r="131">
      <c r="T131">
        <f>IF(AND(B131&lt;&gt;"",R131&lt;&gt;""),R131-B131,"")</f>
        <v/>
      </c>
    </row>
    <row r="132">
      <c r="T132">
        <f>IF(AND(B132&lt;&gt;"",R132&lt;&gt;""),R132-B132,"")</f>
        <v/>
      </c>
    </row>
    <row r="133">
      <c r="T133">
        <f>IF(AND(B133&lt;&gt;"",R133&lt;&gt;""),R133-B133,"")</f>
        <v/>
      </c>
    </row>
    <row r="134">
      <c r="T134">
        <f>IF(AND(B134&lt;&gt;"",R134&lt;&gt;""),R134-B134,"")</f>
        <v/>
      </c>
    </row>
    <row r="135">
      <c r="T135">
        <f>IF(AND(B135&lt;&gt;"",R135&lt;&gt;""),R135-B135,"")</f>
        <v/>
      </c>
    </row>
    <row r="136">
      <c r="T136">
        <f>IF(AND(B136&lt;&gt;"",R136&lt;&gt;""),R136-B136,"")</f>
        <v/>
      </c>
    </row>
    <row r="137">
      <c r="T137">
        <f>IF(AND(B137&lt;&gt;"",R137&lt;&gt;""),R137-B137,"")</f>
        <v/>
      </c>
    </row>
    <row r="138">
      <c r="T138">
        <f>IF(AND(B138&lt;&gt;"",R138&lt;&gt;""),R138-B138,"")</f>
        <v/>
      </c>
    </row>
    <row r="139">
      <c r="T139">
        <f>IF(AND(B139&lt;&gt;"",R139&lt;&gt;""),R139-B139,"")</f>
        <v/>
      </c>
    </row>
    <row r="140">
      <c r="T140">
        <f>IF(AND(B140&lt;&gt;"",R140&lt;&gt;""),R140-B140,"")</f>
        <v/>
      </c>
    </row>
    <row r="141">
      <c r="T141">
        <f>IF(AND(B141&lt;&gt;"",R141&lt;&gt;""),R141-B141,"")</f>
        <v/>
      </c>
    </row>
    <row r="142">
      <c r="T142">
        <f>IF(AND(B142&lt;&gt;"",R142&lt;&gt;""),R142-B142,"")</f>
        <v/>
      </c>
    </row>
    <row r="143">
      <c r="T143">
        <f>IF(AND(B143&lt;&gt;"",R143&lt;&gt;""),R143-B143,"")</f>
        <v/>
      </c>
    </row>
    <row r="144">
      <c r="T144">
        <f>IF(AND(B144&lt;&gt;"",R144&lt;&gt;""),R144-B144,"")</f>
        <v/>
      </c>
    </row>
    <row r="145">
      <c r="T145">
        <f>IF(AND(B145&lt;&gt;"",R145&lt;&gt;""),R145-B145,"")</f>
        <v/>
      </c>
    </row>
    <row r="146">
      <c r="T146">
        <f>IF(AND(B146&lt;&gt;"",R146&lt;&gt;""),R146-B146,"")</f>
        <v/>
      </c>
    </row>
    <row r="147">
      <c r="T147">
        <f>IF(AND(B147&lt;&gt;"",R147&lt;&gt;""),R147-B147,"")</f>
        <v/>
      </c>
    </row>
    <row r="148">
      <c r="T148">
        <f>IF(AND(B148&lt;&gt;"",R148&lt;&gt;""),R148-B148,"")</f>
        <v/>
      </c>
    </row>
    <row r="149">
      <c r="T149">
        <f>IF(AND(B149&lt;&gt;"",R149&lt;&gt;""),R149-B149,"")</f>
        <v/>
      </c>
    </row>
    <row r="150">
      <c r="T150">
        <f>IF(AND(B150&lt;&gt;"",R150&lt;&gt;""),R150-B150,"")</f>
        <v/>
      </c>
    </row>
    <row r="151">
      <c r="T151">
        <f>IF(AND(B151&lt;&gt;"",R151&lt;&gt;""),R151-B151,"")</f>
        <v/>
      </c>
    </row>
    <row r="152">
      <c r="T152">
        <f>IF(AND(B152&lt;&gt;"",R152&lt;&gt;""),R152-B152,"")</f>
        <v/>
      </c>
    </row>
    <row r="153">
      <c r="T153">
        <f>IF(AND(B153&lt;&gt;"",R153&lt;&gt;""),R153-B153,"")</f>
        <v/>
      </c>
    </row>
    <row r="154">
      <c r="T154">
        <f>IF(AND(B154&lt;&gt;"",R154&lt;&gt;""),R154-B154,"")</f>
        <v/>
      </c>
    </row>
    <row r="155">
      <c r="T155">
        <f>IF(AND(B155&lt;&gt;"",R155&lt;&gt;""),R155-B155,"")</f>
        <v/>
      </c>
    </row>
    <row r="156">
      <c r="T156">
        <f>IF(AND(B156&lt;&gt;"",R156&lt;&gt;""),R156-B156,"")</f>
        <v/>
      </c>
    </row>
    <row r="157">
      <c r="T157">
        <f>IF(AND(B157&lt;&gt;"",R157&lt;&gt;""),R157-B157,"")</f>
        <v/>
      </c>
    </row>
    <row r="158">
      <c r="T158">
        <f>IF(AND(B158&lt;&gt;"",R158&lt;&gt;""),R158-B158,"")</f>
        <v/>
      </c>
    </row>
    <row r="159">
      <c r="T159">
        <f>IF(AND(B159&lt;&gt;"",R159&lt;&gt;""),R159-B159,"")</f>
        <v/>
      </c>
    </row>
    <row r="160">
      <c r="T160">
        <f>IF(AND(B160&lt;&gt;"",R160&lt;&gt;""),R160-B160,"")</f>
        <v/>
      </c>
    </row>
    <row r="161">
      <c r="T161">
        <f>IF(AND(B161&lt;&gt;"",R161&lt;&gt;""),R161-B161,"")</f>
        <v/>
      </c>
    </row>
    <row r="162">
      <c r="T162">
        <f>IF(AND(B162&lt;&gt;"",R162&lt;&gt;""),R162-B162,"")</f>
        <v/>
      </c>
    </row>
    <row r="163">
      <c r="T163">
        <f>IF(AND(B163&lt;&gt;"",R163&lt;&gt;""),R163-B163,"")</f>
        <v/>
      </c>
    </row>
    <row r="164">
      <c r="T164">
        <f>IF(AND(B164&lt;&gt;"",R164&lt;&gt;""),R164-B164,"")</f>
        <v/>
      </c>
    </row>
    <row r="165">
      <c r="T165">
        <f>IF(AND(B165&lt;&gt;"",R165&lt;&gt;""),R165-B165,"")</f>
        <v/>
      </c>
    </row>
    <row r="166">
      <c r="T166">
        <f>IF(AND(B166&lt;&gt;"",R166&lt;&gt;""),R166-B166,"")</f>
        <v/>
      </c>
    </row>
    <row r="167">
      <c r="T167">
        <f>IF(AND(B167&lt;&gt;"",R167&lt;&gt;""),R167-B167,"")</f>
        <v/>
      </c>
    </row>
    <row r="168">
      <c r="T168">
        <f>IF(AND(B168&lt;&gt;"",R168&lt;&gt;""),R168-B168,"")</f>
        <v/>
      </c>
    </row>
    <row r="169">
      <c r="T169">
        <f>IF(AND(B169&lt;&gt;"",R169&lt;&gt;""),R169-B169,"")</f>
        <v/>
      </c>
    </row>
    <row r="170">
      <c r="T170">
        <f>IF(AND(B170&lt;&gt;"",R170&lt;&gt;""),R170-B170,"")</f>
        <v/>
      </c>
    </row>
    <row r="171">
      <c r="T171">
        <f>IF(AND(B171&lt;&gt;"",R171&lt;&gt;""),R171-B171,"")</f>
        <v/>
      </c>
    </row>
    <row r="172">
      <c r="T172">
        <f>IF(AND(B172&lt;&gt;"",R172&lt;&gt;""),R172-B172,"")</f>
        <v/>
      </c>
    </row>
    <row r="173">
      <c r="T173">
        <f>IF(AND(B173&lt;&gt;"",R173&lt;&gt;""),R173-B173,"")</f>
        <v/>
      </c>
    </row>
    <row r="174">
      <c r="T174">
        <f>IF(AND(B174&lt;&gt;"",R174&lt;&gt;""),R174-B174,"")</f>
        <v/>
      </c>
    </row>
    <row r="175">
      <c r="T175">
        <f>IF(AND(B175&lt;&gt;"",R175&lt;&gt;""),R175-B175,"")</f>
        <v/>
      </c>
    </row>
    <row r="176">
      <c r="T176">
        <f>IF(AND(B176&lt;&gt;"",R176&lt;&gt;""),R176-B176,"")</f>
        <v/>
      </c>
    </row>
    <row r="177">
      <c r="T177">
        <f>IF(AND(B177&lt;&gt;"",R177&lt;&gt;""),R177-B177,"")</f>
        <v/>
      </c>
    </row>
    <row r="178">
      <c r="T178">
        <f>IF(AND(B178&lt;&gt;"",R178&lt;&gt;""),R178-B178,"")</f>
        <v/>
      </c>
    </row>
    <row r="179">
      <c r="T179">
        <f>IF(AND(B179&lt;&gt;"",R179&lt;&gt;""),R179-B179,"")</f>
        <v/>
      </c>
    </row>
    <row r="180">
      <c r="T180">
        <f>IF(AND(B180&lt;&gt;"",R180&lt;&gt;""),R180-B180,"")</f>
        <v/>
      </c>
    </row>
    <row r="181">
      <c r="T181">
        <f>IF(AND(B181&lt;&gt;"",R181&lt;&gt;""),R181-B181,"")</f>
        <v/>
      </c>
    </row>
    <row r="182">
      <c r="T182">
        <f>IF(AND(B182&lt;&gt;"",R182&lt;&gt;""),R182-B182,"")</f>
        <v/>
      </c>
    </row>
    <row r="183">
      <c r="T183">
        <f>IF(AND(B183&lt;&gt;"",R183&lt;&gt;""),R183-B183,"")</f>
        <v/>
      </c>
    </row>
    <row r="184">
      <c r="T184">
        <f>IF(AND(B184&lt;&gt;"",R184&lt;&gt;""),R184-B184,"")</f>
        <v/>
      </c>
    </row>
    <row r="185">
      <c r="T185">
        <f>IF(AND(B185&lt;&gt;"",R185&lt;&gt;""),R185-B185,"")</f>
        <v/>
      </c>
    </row>
    <row r="186">
      <c r="T186">
        <f>IF(AND(B186&lt;&gt;"",R186&lt;&gt;""),R186-B186,"")</f>
        <v/>
      </c>
    </row>
    <row r="187">
      <c r="T187">
        <f>IF(AND(B187&lt;&gt;"",R187&lt;&gt;""),R187-B187,"")</f>
        <v/>
      </c>
    </row>
    <row r="188">
      <c r="T188">
        <f>IF(AND(B188&lt;&gt;"",R188&lt;&gt;""),R188-B188,"")</f>
        <v/>
      </c>
    </row>
    <row r="189">
      <c r="T189">
        <f>IF(AND(B189&lt;&gt;"",R189&lt;&gt;""),R189-B189,"")</f>
        <v/>
      </c>
    </row>
    <row r="190">
      <c r="T190">
        <f>IF(AND(B190&lt;&gt;"",R190&lt;&gt;""),R190-B190,"")</f>
        <v/>
      </c>
    </row>
    <row r="191">
      <c r="T191">
        <f>IF(AND(B191&lt;&gt;"",R191&lt;&gt;""),R191-B191,"")</f>
        <v/>
      </c>
    </row>
    <row r="192">
      <c r="T192">
        <f>IF(AND(B192&lt;&gt;"",R192&lt;&gt;""),R192-B192,"")</f>
        <v/>
      </c>
    </row>
    <row r="193">
      <c r="T193">
        <f>IF(AND(B193&lt;&gt;"",R193&lt;&gt;""),R193-B193,"")</f>
        <v/>
      </c>
    </row>
    <row r="194">
      <c r="T194">
        <f>IF(AND(B194&lt;&gt;"",R194&lt;&gt;""),R194-B194,"")</f>
        <v/>
      </c>
    </row>
    <row r="195">
      <c r="T195">
        <f>IF(AND(B195&lt;&gt;"",R195&lt;&gt;""),R195-B195,"")</f>
        <v/>
      </c>
    </row>
    <row r="196">
      <c r="T196">
        <f>IF(AND(B196&lt;&gt;"",R196&lt;&gt;""),R196-B196,"")</f>
        <v/>
      </c>
    </row>
    <row r="197">
      <c r="T197">
        <f>IF(AND(B197&lt;&gt;"",R197&lt;&gt;""),R197-B197,"")</f>
        <v/>
      </c>
    </row>
    <row r="198">
      <c r="T198">
        <f>IF(AND(B198&lt;&gt;"",R198&lt;&gt;""),R198-B198,"")</f>
        <v/>
      </c>
    </row>
    <row r="199">
      <c r="T199">
        <f>IF(AND(B199&lt;&gt;"",R199&lt;&gt;""),R199-B199,"")</f>
        <v/>
      </c>
    </row>
    <row r="200">
      <c r="T200">
        <f>IF(AND(B200&lt;&gt;"",R200&lt;&gt;""),R200-B200,"")</f>
        <v/>
      </c>
    </row>
    <row r="201">
      <c r="T201">
        <f>IF(AND(B201&lt;&gt;"",R201&lt;&gt;""),R201-B201,"")</f>
        <v/>
      </c>
    </row>
    <row r="202">
      <c r="T202">
        <f>IF(AND(B202&lt;&gt;"",R202&lt;&gt;""),R202-B202,"")</f>
        <v/>
      </c>
    </row>
    <row r="203">
      <c r="T203">
        <f>IF(AND(B203&lt;&gt;"",R203&lt;&gt;""),R203-B203,"")</f>
        <v/>
      </c>
    </row>
    <row r="204">
      <c r="T204">
        <f>IF(AND(B204&lt;&gt;"",R204&lt;&gt;""),R204-B204,"")</f>
        <v/>
      </c>
    </row>
    <row r="205">
      <c r="T205">
        <f>IF(AND(B205&lt;&gt;"",R205&lt;&gt;""),R205-B205,"")</f>
        <v/>
      </c>
    </row>
    <row r="206">
      <c r="T206">
        <f>IF(AND(B206&lt;&gt;"",R206&lt;&gt;""),R206-B206,"")</f>
        <v/>
      </c>
    </row>
    <row r="207">
      <c r="T207">
        <f>IF(AND(B207&lt;&gt;"",R207&lt;&gt;""),R207-B207,"")</f>
        <v/>
      </c>
    </row>
    <row r="208">
      <c r="T208">
        <f>IF(AND(B208&lt;&gt;"",R208&lt;&gt;""),R208-B208,"")</f>
        <v/>
      </c>
    </row>
    <row r="209">
      <c r="T209">
        <f>IF(AND(B209&lt;&gt;"",R209&lt;&gt;""),R209-B209,"")</f>
        <v/>
      </c>
    </row>
    <row r="210">
      <c r="T210">
        <f>IF(AND(B210&lt;&gt;"",R210&lt;&gt;""),R210-B210,"")</f>
        <v/>
      </c>
    </row>
    <row r="211">
      <c r="T211">
        <f>IF(AND(B211&lt;&gt;"",R211&lt;&gt;""),R211-B211,"")</f>
        <v/>
      </c>
    </row>
    <row r="212">
      <c r="T212">
        <f>IF(AND(B212&lt;&gt;"",R212&lt;&gt;""),R212-B212,"")</f>
        <v/>
      </c>
    </row>
    <row r="213">
      <c r="T213">
        <f>IF(AND(B213&lt;&gt;"",R213&lt;&gt;""),R213-B213,"")</f>
        <v/>
      </c>
    </row>
    <row r="214">
      <c r="T214">
        <f>IF(AND(B214&lt;&gt;"",R214&lt;&gt;""),R214-B214,"")</f>
        <v/>
      </c>
    </row>
    <row r="215">
      <c r="T215">
        <f>IF(AND(B215&lt;&gt;"",R215&lt;&gt;""),R215-B215,"")</f>
        <v/>
      </c>
    </row>
    <row r="216">
      <c r="T216">
        <f>IF(AND(B216&lt;&gt;"",R216&lt;&gt;""),R216-B216,"")</f>
        <v/>
      </c>
    </row>
    <row r="217">
      <c r="T217">
        <f>IF(AND(B217&lt;&gt;"",R217&lt;&gt;""),R217-B217,"")</f>
        <v/>
      </c>
    </row>
    <row r="218">
      <c r="T218">
        <f>IF(AND(B218&lt;&gt;"",R218&lt;&gt;""),R218-B218,"")</f>
        <v/>
      </c>
    </row>
    <row r="219">
      <c r="T219">
        <f>IF(AND(B219&lt;&gt;"",R219&lt;&gt;""),R219-B219,"")</f>
        <v/>
      </c>
    </row>
    <row r="220">
      <c r="T220">
        <f>IF(AND(B220&lt;&gt;"",R220&lt;&gt;""),R220-B220,"")</f>
        <v/>
      </c>
    </row>
    <row r="221">
      <c r="T221">
        <f>IF(AND(B221&lt;&gt;"",R221&lt;&gt;""),R221-B221,"")</f>
        <v/>
      </c>
    </row>
    <row r="222">
      <c r="T222">
        <f>IF(AND(B222&lt;&gt;"",R222&lt;&gt;""),R222-B222,"")</f>
        <v/>
      </c>
    </row>
    <row r="223">
      <c r="T223">
        <f>IF(AND(B223&lt;&gt;"",R223&lt;&gt;""),R223-B223,"")</f>
        <v/>
      </c>
    </row>
    <row r="224">
      <c r="T224">
        <f>IF(AND(B224&lt;&gt;"",R224&lt;&gt;""),R224-B224,"")</f>
        <v/>
      </c>
    </row>
    <row r="225">
      <c r="T225">
        <f>IF(AND(B225&lt;&gt;"",R225&lt;&gt;""),R225-B225,"")</f>
        <v/>
      </c>
    </row>
    <row r="226">
      <c r="T226">
        <f>IF(AND(B226&lt;&gt;"",R226&lt;&gt;""),R226-B226,"")</f>
        <v/>
      </c>
    </row>
    <row r="227">
      <c r="T227">
        <f>IF(AND(B227&lt;&gt;"",R227&lt;&gt;""),R227-B227,"")</f>
        <v/>
      </c>
    </row>
    <row r="228">
      <c r="T228">
        <f>IF(AND(B228&lt;&gt;"",R228&lt;&gt;""),R228-B228,"")</f>
        <v/>
      </c>
    </row>
    <row r="229">
      <c r="T229">
        <f>IF(AND(B229&lt;&gt;"",R229&lt;&gt;""),R229-B229,"")</f>
        <v/>
      </c>
    </row>
    <row r="230">
      <c r="T230">
        <f>IF(AND(B230&lt;&gt;"",R230&lt;&gt;""),R230-B230,"")</f>
        <v/>
      </c>
    </row>
    <row r="231">
      <c r="T231">
        <f>IF(AND(B231&lt;&gt;"",R231&lt;&gt;""),R231-B231,"")</f>
        <v/>
      </c>
    </row>
    <row r="232">
      <c r="T232">
        <f>IF(AND(B232&lt;&gt;"",R232&lt;&gt;""),R232-B232,"")</f>
        <v/>
      </c>
    </row>
    <row r="233">
      <c r="T233">
        <f>IF(AND(B233&lt;&gt;"",R233&lt;&gt;""),R233-B233,"")</f>
        <v/>
      </c>
    </row>
    <row r="234">
      <c r="T234">
        <f>IF(AND(B234&lt;&gt;"",R234&lt;&gt;""),R234-B234,"")</f>
        <v/>
      </c>
    </row>
    <row r="235">
      <c r="T235">
        <f>IF(AND(B235&lt;&gt;"",R235&lt;&gt;""),R235-B235,"")</f>
        <v/>
      </c>
    </row>
    <row r="236">
      <c r="T236">
        <f>IF(AND(B236&lt;&gt;"",R236&lt;&gt;""),R236-B236,"")</f>
        <v/>
      </c>
    </row>
    <row r="237">
      <c r="T237">
        <f>IF(AND(B237&lt;&gt;"",R237&lt;&gt;""),R237-B237,"")</f>
        <v/>
      </c>
    </row>
    <row r="238">
      <c r="T238">
        <f>IF(AND(B238&lt;&gt;"",R238&lt;&gt;""),R238-B238,"")</f>
        <v/>
      </c>
    </row>
    <row r="239">
      <c r="T239">
        <f>IF(AND(B239&lt;&gt;"",R239&lt;&gt;""),R239-B239,"")</f>
        <v/>
      </c>
    </row>
    <row r="240">
      <c r="T240">
        <f>IF(AND(B240&lt;&gt;"",R240&lt;&gt;""),R240-B240,"")</f>
        <v/>
      </c>
    </row>
    <row r="241">
      <c r="T241">
        <f>IF(AND(B241&lt;&gt;"",R241&lt;&gt;""),R241-B241,"")</f>
        <v/>
      </c>
    </row>
    <row r="242">
      <c r="T242">
        <f>IF(AND(B242&lt;&gt;"",R242&lt;&gt;""),R242-B242,"")</f>
        <v/>
      </c>
    </row>
    <row r="243">
      <c r="T243">
        <f>IF(AND(B243&lt;&gt;"",R243&lt;&gt;""),R243-B243,"")</f>
        <v/>
      </c>
    </row>
    <row r="244">
      <c r="T244">
        <f>IF(AND(B244&lt;&gt;"",R244&lt;&gt;""),R244-B244,"")</f>
        <v/>
      </c>
    </row>
    <row r="245">
      <c r="T245">
        <f>IF(AND(B245&lt;&gt;"",R245&lt;&gt;""),R245-B245,"")</f>
        <v/>
      </c>
    </row>
    <row r="246">
      <c r="T246">
        <f>IF(AND(B246&lt;&gt;"",R246&lt;&gt;""),R246-B246,"")</f>
        <v/>
      </c>
    </row>
    <row r="247">
      <c r="T247">
        <f>IF(AND(B247&lt;&gt;"",R247&lt;&gt;""),R247-B247,"")</f>
        <v/>
      </c>
    </row>
    <row r="248">
      <c r="T248">
        <f>IF(AND(B248&lt;&gt;"",R248&lt;&gt;""),R248-B248,"")</f>
        <v/>
      </c>
    </row>
    <row r="249">
      <c r="T249">
        <f>IF(AND(B249&lt;&gt;"",R249&lt;&gt;""),R249-B249,"")</f>
        <v/>
      </c>
    </row>
    <row r="250">
      <c r="T250">
        <f>IF(AND(B250&lt;&gt;"",R250&lt;&gt;""),R250-B250,"")</f>
        <v/>
      </c>
    </row>
    <row r="251">
      <c r="T251">
        <f>IF(AND(B251&lt;&gt;"",R251&lt;&gt;""),R251-B251,"")</f>
        <v/>
      </c>
    </row>
    <row r="252">
      <c r="T252">
        <f>IF(AND(B252&lt;&gt;"",R252&lt;&gt;""),R252-B252,"")</f>
        <v/>
      </c>
    </row>
    <row r="253">
      <c r="T253">
        <f>IF(AND(B253&lt;&gt;"",R253&lt;&gt;""),R253-B253,"")</f>
        <v/>
      </c>
    </row>
    <row r="254">
      <c r="T254">
        <f>IF(AND(B254&lt;&gt;"",R254&lt;&gt;""),R254-B254,"")</f>
        <v/>
      </c>
    </row>
    <row r="255">
      <c r="T255">
        <f>IF(AND(B255&lt;&gt;"",R255&lt;&gt;""),R255-B255,"")</f>
        <v/>
      </c>
    </row>
    <row r="256">
      <c r="T256">
        <f>IF(AND(B256&lt;&gt;"",R256&lt;&gt;""),R256-B256,"")</f>
        <v/>
      </c>
    </row>
    <row r="257">
      <c r="T257">
        <f>IF(AND(B257&lt;&gt;"",R257&lt;&gt;""),R257-B257,"")</f>
        <v/>
      </c>
    </row>
    <row r="258">
      <c r="T258">
        <f>IF(AND(B258&lt;&gt;"",R258&lt;&gt;""),R258-B258,"")</f>
        <v/>
      </c>
    </row>
    <row r="259">
      <c r="T259">
        <f>IF(AND(B259&lt;&gt;"",R259&lt;&gt;""),R259-B259,"")</f>
        <v/>
      </c>
    </row>
    <row r="260">
      <c r="T260">
        <f>IF(AND(B260&lt;&gt;"",R260&lt;&gt;""),R260-B260,"")</f>
        <v/>
      </c>
    </row>
    <row r="261">
      <c r="T261">
        <f>IF(AND(B261&lt;&gt;"",R261&lt;&gt;""),R261-B261,"")</f>
        <v/>
      </c>
    </row>
    <row r="262">
      <c r="T262">
        <f>IF(AND(B262&lt;&gt;"",R262&lt;&gt;""),R262-B262,"")</f>
        <v/>
      </c>
    </row>
    <row r="263">
      <c r="T263">
        <f>IF(AND(B263&lt;&gt;"",R263&lt;&gt;""),R263-B263,"")</f>
        <v/>
      </c>
    </row>
    <row r="264">
      <c r="T264">
        <f>IF(AND(B264&lt;&gt;"",R264&lt;&gt;""),R264-B264,"")</f>
        <v/>
      </c>
    </row>
    <row r="265">
      <c r="T265">
        <f>IF(AND(B265&lt;&gt;"",R265&lt;&gt;""),R265-B265,"")</f>
        <v/>
      </c>
    </row>
    <row r="266">
      <c r="T266">
        <f>IF(AND(B266&lt;&gt;"",R266&lt;&gt;""),R266-B266,"")</f>
        <v/>
      </c>
    </row>
    <row r="267">
      <c r="T267">
        <f>IF(AND(B267&lt;&gt;"",R267&lt;&gt;""),R267-B267,"")</f>
        <v/>
      </c>
    </row>
    <row r="268">
      <c r="T268">
        <f>IF(AND(B268&lt;&gt;"",R268&lt;&gt;""),R268-B268,"")</f>
        <v/>
      </c>
    </row>
    <row r="269">
      <c r="T269">
        <f>IF(AND(B269&lt;&gt;"",R269&lt;&gt;""),R269-B269,"")</f>
        <v/>
      </c>
    </row>
    <row r="270">
      <c r="T270">
        <f>IF(AND(B270&lt;&gt;"",R270&lt;&gt;""),R270-B270,"")</f>
        <v/>
      </c>
    </row>
    <row r="271">
      <c r="T271">
        <f>IF(AND(B271&lt;&gt;"",R271&lt;&gt;""),R271-B271,"")</f>
        <v/>
      </c>
    </row>
    <row r="272">
      <c r="T272">
        <f>IF(AND(B272&lt;&gt;"",R272&lt;&gt;""),R272-B272,"")</f>
        <v/>
      </c>
    </row>
    <row r="273">
      <c r="T273">
        <f>IF(AND(B273&lt;&gt;"",R273&lt;&gt;""),R273-B273,"")</f>
        <v/>
      </c>
    </row>
    <row r="274">
      <c r="T274">
        <f>IF(AND(B274&lt;&gt;"",R274&lt;&gt;""),R274-B274,"")</f>
        <v/>
      </c>
    </row>
    <row r="275">
      <c r="T275">
        <f>IF(AND(B275&lt;&gt;"",R275&lt;&gt;""),R275-B275,"")</f>
        <v/>
      </c>
    </row>
    <row r="276">
      <c r="T276">
        <f>IF(AND(B276&lt;&gt;"",R276&lt;&gt;""),R276-B276,"")</f>
        <v/>
      </c>
    </row>
    <row r="277">
      <c r="T277">
        <f>IF(AND(B277&lt;&gt;"",R277&lt;&gt;""),R277-B277,"")</f>
        <v/>
      </c>
    </row>
    <row r="278">
      <c r="T278">
        <f>IF(AND(B278&lt;&gt;"",R278&lt;&gt;""),R278-B278,"")</f>
        <v/>
      </c>
    </row>
    <row r="279">
      <c r="T279">
        <f>IF(AND(B279&lt;&gt;"",R279&lt;&gt;""),R279-B279,"")</f>
        <v/>
      </c>
    </row>
    <row r="280">
      <c r="T280">
        <f>IF(AND(B280&lt;&gt;"",R280&lt;&gt;""),R280-B280,"")</f>
        <v/>
      </c>
    </row>
    <row r="281">
      <c r="T281">
        <f>IF(AND(B281&lt;&gt;"",R281&lt;&gt;""),R281-B281,"")</f>
        <v/>
      </c>
    </row>
    <row r="282">
      <c r="T282">
        <f>IF(AND(B282&lt;&gt;"",R282&lt;&gt;""),R282-B282,"")</f>
        <v/>
      </c>
    </row>
    <row r="283">
      <c r="T283">
        <f>IF(AND(B283&lt;&gt;"",R283&lt;&gt;""),R283-B283,"")</f>
        <v/>
      </c>
    </row>
    <row r="284">
      <c r="T284">
        <f>IF(AND(B284&lt;&gt;"",R284&lt;&gt;""),R284-B284,"")</f>
        <v/>
      </c>
    </row>
    <row r="285">
      <c r="T285">
        <f>IF(AND(B285&lt;&gt;"",R285&lt;&gt;""),R285-B285,"")</f>
        <v/>
      </c>
    </row>
    <row r="286">
      <c r="T286">
        <f>IF(AND(B286&lt;&gt;"",R286&lt;&gt;""),R286-B286,"")</f>
        <v/>
      </c>
    </row>
    <row r="287">
      <c r="T287">
        <f>IF(AND(B287&lt;&gt;"",R287&lt;&gt;""),R287-B287,"")</f>
        <v/>
      </c>
    </row>
    <row r="288">
      <c r="T288">
        <f>IF(AND(B288&lt;&gt;"",R288&lt;&gt;""),R288-B288,"")</f>
        <v/>
      </c>
    </row>
    <row r="289">
      <c r="T289">
        <f>IF(AND(B289&lt;&gt;"",R289&lt;&gt;""),R289-B289,"")</f>
        <v/>
      </c>
    </row>
    <row r="290">
      <c r="T290">
        <f>IF(AND(B290&lt;&gt;"",R290&lt;&gt;""),R290-B290,"")</f>
        <v/>
      </c>
    </row>
    <row r="291">
      <c r="T291">
        <f>IF(AND(B291&lt;&gt;"",R291&lt;&gt;""),R291-B291,"")</f>
        <v/>
      </c>
    </row>
    <row r="292">
      <c r="T292">
        <f>IF(AND(B292&lt;&gt;"",R292&lt;&gt;""),R292-B292,"")</f>
        <v/>
      </c>
    </row>
    <row r="293">
      <c r="T293">
        <f>IF(AND(B293&lt;&gt;"",R293&lt;&gt;""),R293-B293,"")</f>
        <v/>
      </c>
    </row>
    <row r="294">
      <c r="T294">
        <f>IF(AND(B294&lt;&gt;"",R294&lt;&gt;""),R294-B294,"")</f>
        <v/>
      </c>
    </row>
    <row r="295">
      <c r="T295">
        <f>IF(AND(B295&lt;&gt;"",R295&lt;&gt;""),R295-B295,"")</f>
        <v/>
      </c>
    </row>
    <row r="296">
      <c r="T296">
        <f>IF(AND(B296&lt;&gt;"",R296&lt;&gt;""),R296-B296,"")</f>
        <v/>
      </c>
    </row>
    <row r="297">
      <c r="T297">
        <f>IF(AND(B297&lt;&gt;"",R297&lt;&gt;""),R297-B297,"")</f>
        <v/>
      </c>
    </row>
    <row r="298">
      <c r="T298">
        <f>IF(AND(B298&lt;&gt;"",R298&lt;&gt;""),R298-B298,"")</f>
        <v/>
      </c>
    </row>
    <row r="299">
      <c r="T299">
        <f>IF(AND(B299&lt;&gt;"",R299&lt;&gt;""),R299-B299,"")</f>
        <v/>
      </c>
    </row>
    <row r="300">
      <c r="T300">
        <f>IF(AND(B300&lt;&gt;"",R300&lt;&gt;""),R300-B300,"")</f>
        <v/>
      </c>
    </row>
    <row r="301">
      <c r="T301">
        <f>IF(AND(B301&lt;&gt;"",R301&lt;&gt;""),R301-B301,"")</f>
        <v/>
      </c>
    </row>
    <row r="302">
      <c r="T302">
        <f>IF(AND(B302&lt;&gt;"",R302&lt;&gt;""),R302-B302,"")</f>
        <v/>
      </c>
    </row>
    <row r="303">
      <c r="T303">
        <f>IF(AND(B303&lt;&gt;"",R303&lt;&gt;""),R303-B303,"")</f>
        <v/>
      </c>
    </row>
    <row r="304">
      <c r="T304">
        <f>IF(AND(B304&lt;&gt;"",R304&lt;&gt;""),R304-B304,"")</f>
        <v/>
      </c>
    </row>
    <row r="305">
      <c r="T305">
        <f>IF(AND(B305&lt;&gt;"",R305&lt;&gt;""),R305-B305,"")</f>
        <v/>
      </c>
    </row>
    <row r="306">
      <c r="T306">
        <f>IF(AND(B306&lt;&gt;"",R306&lt;&gt;""),R306-B306,"")</f>
        <v/>
      </c>
    </row>
    <row r="307">
      <c r="T307">
        <f>IF(AND(B307&lt;&gt;"",R307&lt;&gt;""),R307-B307,"")</f>
        <v/>
      </c>
    </row>
    <row r="308">
      <c r="T308">
        <f>IF(AND(B308&lt;&gt;"",R308&lt;&gt;""),R308-B308,"")</f>
        <v/>
      </c>
    </row>
    <row r="309">
      <c r="T309">
        <f>IF(AND(B309&lt;&gt;"",R309&lt;&gt;""),R309-B309,"")</f>
        <v/>
      </c>
    </row>
    <row r="310">
      <c r="T310">
        <f>IF(AND(B310&lt;&gt;"",R310&lt;&gt;""),R310-B310,"")</f>
        <v/>
      </c>
    </row>
    <row r="311">
      <c r="T311">
        <f>IF(AND(B311&lt;&gt;"",R311&lt;&gt;""),R311-B311,"")</f>
        <v/>
      </c>
    </row>
    <row r="312">
      <c r="T312">
        <f>IF(AND(B312&lt;&gt;"",R312&lt;&gt;""),R312-B312,"")</f>
        <v/>
      </c>
    </row>
    <row r="313">
      <c r="T313">
        <f>IF(AND(B313&lt;&gt;"",R313&lt;&gt;""),R313-B313,"")</f>
        <v/>
      </c>
    </row>
    <row r="314">
      <c r="T314">
        <f>IF(AND(B314&lt;&gt;"",R314&lt;&gt;""),R314-B314,"")</f>
        <v/>
      </c>
    </row>
    <row r="315">
      <c r="T315">
        <f>IF(AND(B315&lt;&gt;"",R315&lt;&gt;""),R315-B315,"")</f>
        <v/>
      </c>
    </row>
    <row r="316">
      <c r="T316">
        <f>IF(AND(B316&lt;&gt;"",R316&lt;&gt;""),R316-B316,"")</f>
        <v/>
      </c>
    </row>
    <row r="317">
      <c r="T317">
        <f>IF(AND(B317&lt;&gt;"",R317&lt;&gt;""),R317-B317,"")</f>
        <v/>
      </c>
    </row>
    <row r="318">
      <c r="T318">
        <f>IF(AND(B318&lt;&gt;"",R318&lt;&gt;""),R318-B318,"")</f>
        <v/>
      </c>
    </row>
    <row r="319">
      <c r="T319">
        <f>IF(AND(B319&lt;&gt;"",R319&lt;&gt;""),R319-B319,"")</f>
        <v/>
      </c>
    </row>
    <row r="320">
      <c r="T320">
        <f>IF(AND(B320&lt;&gt;"",R320&lt;&gt;""),R320-B320,"")</f>
        <v/>
      </c>
    </row>
    <row r="321">
      <c r="T321">
        <f>IF(AND(B321&lt;&gt;"",R321&lt;&gt;""),R321-B321,"")</f>
        <v/>
      </c>
    </row>
    <row r="322">
      <c r="T322">
        <f>IF(AND(B322&lt;&gt;"",R322&lt;&gt;""),R322-B322,"")</f>
        <v/>
      </c>
    </row>
    <row r="323">
      <c r="T323">
        <f>IF(AND(B323&lt;&gt;"",R323&lt;&gt;""),R323-B323,"")</f>
        <v/>
      </c>
    </row>
    <row r="324">
      <c r="T324">
        <f>IF(AND(B324&lt;&gt;"",R324&lt;&gt;""),R324-B324,"")</f>
        <v/>
      </c>
    </row>
    <row r="325">
      <c r="T325">
        <f>IF(AND(B325&lt;&gt;"",R325&lt;&gt;""),R325-B325,"")</f>
        <v/>
      </c>
    </row>
    <row r="326">
      <c r="T326">
        <f>IF(AND(B326&lt;&gt;"",R326&lt;&gt;""),R326-B326,"")</f>
        <v/>
      </c>
    </row>
    <row r="327">
      <c r="T327">
        <f>IF(AND(B327&lt;&gt;"",R327&lt;&gt;""),R327-B327,"")</f>
        <v/>
      </c>
    </row>
    <row r="328">
      <c r="T328">
        <f>IF(AND(B328&lt;&gt;"",R328&lt;&gt;""),R328-B328,"")</f>
        <v/>
      </c>
    </row>
    <row r="329">
      <c r="T329">
        <f>IF(AND(B329&lt;&gt;"",R329&lt;&gt;""),R329-B329,"")</f>
        <v/>
      </c>
    </row>
    <row r="330">
      <c r="T330">
        <f>IF(AND(B330&lt;&gt;"",R330&lt;&gt;""),R330-B330,"")</f>
        <v/>
      </c>
    </row>
    <row r="331">
      <c r="T331">
        <f>IF(AND(B331&lt;&gt;"",R331&lt;&gt;""),R331-B331,"")</f>
        <v/>
      </c>
    </row>
    <row r="332">
      <c r="T332">
        <f>IF(AND(B332&lt;&gt;"",R332&lt;&gt;""),R332-B332,"")</f>
        <v/>
      </c>
    </row>
    <row r="333">
      <c r="T333">
        <f>IF(AND(B333&lt;&gt;"",R333&lt;&gt;""),R333-B333,"")</f>
        <v/>
      </c>
    </row>
    <row r="334">
      <c r="T334">
        <f>IF(AND(B334&lt;&gt;"",R334&lt;&gt;""),R334-B334,"")</f>
        <v/>
      </c>
    </row>
    <row r="335">
      <c r="T335">
        <f>IF(AND(B335&lt;&gt;"",R335&lt;&gt;""),R335-B335,"")</f>
        <v/>
      </c>
    </row>
    <row r="336">
      <c r="T336">
        <f>IF(AND(B336&lt;&gt;"",R336&lt;&gt;""),R336-B336,"")</f>
        <v/>
      </c>
    </row>
    <row r="337">
      <c r="T337">
        <f>IF(AND(B337&lt;&gt;"",R337&lt;&gt;""),R337-B337,"")</f>
        <v/>
      </c>
    </row>
    <row r="338">
      <c r="T338">
        <f>IF(AND(B338&lt;&gt;"",R338&lt;&gt;""),R338-B338,"")</f>
        <v/>
      </c>
    </row>
    <row r="339">
      <c r="T339">
        <f>IF(AND(B339&lt;&gt;"",R339&lt;&gt;""),R339-B339,"")</f>
        <v/>
      </c>
    </row>
    <row r="340">
      <c r="T340">
        <f>IF(AND(B340&lt;&gt;"",R340&lt;&gt;""),R340-B340,"")</f>
        <v/>
      </c>
    </row>
    <row r="341">
      <c r="T341">
        <f>IF(AND(B341&lt;&gt;"",R341&lt;&gt;""),R341-B341,"")</f>
        <v/>
      </c>
    </row>
    <row r="342">
      <c r="T342">
        <f>IF(AND(B342&lt;&gt;"",R342&lt;&gt;""),R342-B342,"")</f>
        <v/>
      </c>
    </row>
    <row r="343">
      <c r="T343">
        <f>IF(AND(B343&lt;&gt;"",R343&lt;&gt;""),R343-B343,"")</f>
        <v/>
      </c>
    </row>
    <row r="344">
      <c r="T344">
        <f>IF(AND(B344&lt;&gt;"",R344&lt;&gt;""),R344-B344,"")</f>
        <v/>
      </c>
    </row>
    <row r="345">
      <c r="T345">
        <f>IF(AND(B345&lt;&gt;"",R345&lt;&gt;""),R345-B345,"")</f>
        <v/>
      </c>
    </row>
    <row r="346">
      <c r="T346">
        <f>IF(AND(B346&lt;&gt;"",R346&lt;&gt;""),R346-B346,"")</f>
        <v/>
      </c>
    </row>
    <row r="347">
      <c r="T347">
        <f>IF(AND(B347&lt;&gt;"",R347&lt;&gt;""),R347-B347,"")</f>
        <v/>
      </c>
    </row>
    <row r="348">
      <c r="T348">
        <f>IF(AND(B348&lt;&gt;"",R348&lt;&gt;""),R348-B348,"")</f>
        <v/>
      </c>
    </row>
    <row r="349">
      <c r="T349">
        <f>IF(AND(B349&lt;&gt;"",R349&lt;&gt;""),R349-B349,"")</f>
        <v/>
      </c>
    </row>
    <row r="350">
      <c r="T350">
        <f>IF(AND(B350&lt;&gt;"",R350&lt;&gt;""),R350-B350,"")</f>
        <v/>
      </c>
    </row>
    <row r="351">
      <c r="T351">
        <f>IF(AND(B351&lt;&gt;"",R351&lt;&gt;""),R351-B351,"")</f>
        <v/>
      </c>
    </row>
    <row r="352">
      <c r="T352">
        <f>IF(AND(B352&lt;&gt;"",R352&lt;&gt;""),R352-B352,"")</f>
        <v/>
      </c>
    </row>
    <row r="353">
      <c r="T353">
        <f>IF(AND(B353&lt;&gt;"",R353&lt;&gt;""),R353-B353,"")</f>
        <v/>
      </c>
    </row>
    <row r="354">
      <c r="T354">
        <f>IF(AND(B354&lt;&gt;"",R354&lt;&gt;""),R354-B354,"")</f>
        <v/>
      </c>
    </row>
    <row r="355">
      <c r="T355">
        <f>IF(AND(B355&lt;&gt;"",R355&lt;&gt;""),R355-B355,"")</f>
        <v/>
      </c>
    </row>
    <row r="356">
      <c r="T356">
        <f>IF(AND(B356&lt;&gt;"",R356&lt;&gt;""),R356-B356,"")</f>
        <v/>
      </c>
    </row>
    <row r="357">
      <c r="T357">
        <f>IF(AND(B357&lt;&gt;"",R357&lt;&gt;""),R357-B357,"")</f>
        <v/>
      </c>
    </row>
    <row r="358">
      <c r="T358">
        <f>IF(AND(B358&lt;&gt;"",R358&lt;&gt;""),R358-B358,"")</f>
        <v/>
      </c>
    </row>
    <row r="359">
      <c r="T359">
        <f>IF(AND(B359&lt;&gt;"",R359&lt;&gt;""),R359-B359,"")</f>
        <v/>
      </c>
    </row>
    <row r="360">
      <c r="T360">
        <f>IF(AND(B360&lt;&gt;"",R360&lt;&gt;""),R360-B360,"")</f>
        <v/>
      </c>
    </row>
    <row r="361">
      <c r="T361">
        <f>IF(AND(B361&lt;&gt;"",R361&lt;&gt;""),R361-B361,"")</f>
        <v/>
      </c>
    </row>
    <row r="362">
      <c r="T362">
        <f>IF(AND(B362&lt;&gt;"",R362&lt;&gt;""),R362-B362,"")</f>
        <v/>
      </c>
    </row>
    <row r="363">
      <c r="T363">
        <f>IF(AND(B363&lt;&gt;"",R363&lt;&gt;""),R363-B363,"")</f>
        <v/>
      </c>
    </row>
    <row r="364">
      <c r="T364">
        <f>IF(AND(B364&lt;&gt;"",R364&lt;&gt;""),R364-B364,"")</f>
        <v/>
      </c>
    </row>
    <row r="365">
      <c r="T365">
        <f>IF(AND(B365&lt;&gt;"",R365&lt;&gt;""),R365-B365,"")</f>
        <v/>
      </c>
    </row>
    <row r="366">
      <c r="T366">
        <f>IF(AND(B366&lt;&gt;"",R366&lt;&gt;""),R366-B366,"")</f>
        <v/>
      </c>
    </row>
    <row r="367">
      <c r="T367">
        <f>IF(AND(B367&lt;&gt;"",R367&lt;&gt;""),R367-B367,"")</f>
        <v/>
      </c>
    </row>
    <row r="368">
      <c r="T368">
        <f>IF(AND(B368&lt;&gt;"",R368&lt;&gt;""),R368-B368,"")</f>
        <v/>
      </c>
    </row>
    <row r="369">
      <c r="T369">
        <f>IF(AND(B369&lt;&gt;"",R369&lt;&gt;""),R369-B369,"")</f>
        <v/>
      </c>
    </row>
    <row r="370">
      <c r="T370">
        <f>IF(AND(B370&lt;&gt;"",R370&lt;&gt;""),R370-B370,"")</f>
        <v/>
      </c>
    </row>
    <row r="371">
      <c r="T371">
        <f>IF(AND(B371&lt;&gt;"",R371&lt;&gt;""),R371-B371,"")</f>
        <v/>
      </c>
    </row>
    <row r="372">
      <c r="T372">
        <f>IF(AND(B372&lt;&gt;"",R372&lt;&gt;""),R372-B372,"")</f>
        <v/>
      </c>
    </row>
    <row r="373">
      <c r="T373">
        <f>IF(AND(B373&lt;&gt;"",R373&lt;&gt;""),R373-B373,"")</f>
        <v/>
      </c>
    </row>
    <row r="374">
      <c r="T374">
        <f>IF(AND(B374&lt;&gt;"",R374&lt;&gt;""),R374-B374,"")</f>
        <v/>
      </c>
    </row>
    <row r="375">
      <c r="T375">
        <f>IF(AND(B375&lt;&gt;"",R375&lt;&gt;""),R375-B375,"")</f>
        <v/>
      </c>
    </row>
    <row r="376">
      <c r="T376">
        <f>IF(AND(B376&lt;&gt;"",R376&lt;&gt;""),R376-B376,"")</f>
        <v/>
      </c>
    </row>
    <row r="377">
      <c r="T377">
        <f>IF(AND(B377&lt;&gt;"",R377&lt;&gt;""),R377-B377,"")</f>
        <v/>
      </c>
    </row>
    <row r="378">
      <c r="T378">
        <f>IF(AND(B378&lt;&gt;"",R378&lt;&gt;""),R378-B378,"")</f>
        <v/>
      </c>
    </row>
    <row r="379">
      <c r="T379">
        <f>IF(AND(B379&lt;&gt;"",R379&lt;&gt;""),R379-B379,"")</f>
        <v/>
      </c>
    </row>
    <row r="380">
      <c r="T380">
        <f>IF(AND(B380&lt;&gt;"",R380&lt;&gt;""),R380-B380,"")</f>
        <v/>
      </c>
    </row>
    <row r="381">
      <c r="T381">
        <f>IF(AND(B381&lt;&gt;"",R381&lt;&gt;""),R381-B381,"")</f>
        <v/>
      </c>
    </row>
    <row r="382">
      <c r="T382">
        <f>IF(AND(B382&lt;&gt;"",R382&lt;&gt;""),R382-B382,"")</f>
        <v/>
      </c>
    </row>
    <row r="383">
      <c r="T383">
        <f>IF(AND(B383&lt;&gt;"",R383&lt;&gt;""),R383-B383,"")</f>
        <v/>
      </c>
    </row>
    <row r="384">
      <c r="T384">
        <f>IF(AND(B384&lt;&gt;"",R384&lt;&gt;""),R384-B384,"")</f>
        <v/>
      </c>
    </row>
    <row r="385">
      <c r="T385">
        <f>IF(AND(B385&lt;&gt;"",R385&lt;&gt;""),R385-B385,"")</f>
        <v/>
      </c>
    </row>
    <row r="386">
      <c r="T386">
        <f>IF(AND(B386&lt;&gt;"",R386&lt;&gt;""),R386-B386,"")</f>
        <v/>
      </c>
    </row>
    <row r="387">
      <c r="T387">
        <f>IF(AND(B387&lt;&gt;"",R387&lt;&gt;""),R387-B387,"")</f>
        <v/>
      </c>
    </row>
    <row r="388">
      <c r="T388">
        <f>IF(AND(B388&lt;&gt;"",R388&lt;&gt;""),R388-B388,"")</f>
        <v/>
      </c>
    </row>
    <row r="389">
      <c r="T389">
        <f>IF(AND(B389&lt;&gt;"",R389&lt;&gt;""),R389-B389,"")</f>
        <v/>
      </c>
    </row>
    <row r="390">
      <c r="T390">
        <f>IF(AND(B390&lt;&gt;"",R390&lt;&gt;""),R390-B390,"")</f>
        <v/>
      </c>
    </row>
    <row r="391">
      <c r="T391">
        <f>IF(AND(B391&lt;&gt;"",R391&lt;&gt;""),R391-B391,"")</f>
        <v/>
      </c>
    </row>
    <row r="392">
      <c r="T392">
        <f>IF(AND(B392&lt;&gt;"",R392&lt;&gt;""),R392-B392,"")</f>
        <v/>
      </c>
    </row>
    <row r="393">
      <c r="T393">
        <f>IF(AND(B393&lt;&gt;"",R393&lt;&gt;""),R393-B393,"")</f>
        <v/>
      </c>
    </row>
    <row r="394">
      <c r="T394">
        <f>IF(AND(B394&lt;&gt;"",R394&lt;&gt;""),R394-B394,"")</f>
        <v/>
      </c>
    </row>
    <row r="395">
      <c r="T395">
        <f>IF(AND(B395&lt;&gt;"",R395&lt;&gt;""),R395-B395,"")</f>
        <v/>
      </c>
    </row>
    <row r="396">
      <c r="T396">
        <f>IF(AND(B396&lt;&gt;"",R396&lt;&gt;""),R396-B396,"")</f>
        <v/>
      </c>
    </row>
    <row r="397">
      <c r="T397">
        <f>IF(AND(B397&lt;&gt;"",R397&lt;&gt;""),R397-B397,"")</f>
        <v/>
      </c>
    </row>
    <row r="398">
      <c r="T398">
        <f>IF(AND(B398&lt;&gt;"",R398&lt;&gt;""),R398-B398,"")</f>
        <v/>
      </c>
    </row>
    <row r="399">
      <c r="T399">
        <f>IF(AND(B399&lt;&gt;"",R399&lt;&gt;""),R399-B399,"")</f>
        <v/>
      </c>
    </row>
    <row r="400">
      <c r="T400">
        <f>IF(AND(B400&lt;&gt;"",R400&lt;&gt;""),R400-B400,"")</f>
        <v/>
      </c>
    </row>
    <row r="401">
      <c r="T401">
        <f>IF(AND(B401&lt;&gt;"",R401&lt;&gt;""),R401-B401,"")</f>
        <v/>
      </c>
    </row>
    <row r="402">
      <c r="T402">
        <f>IF(AND(B402&lt;&gt;"",R402&lt;&gt;""),R402-B402,"")</f>
        <v/>
      </c>
    </row>
    <row r="403">
      <c r="T403">
        <f>IF(AND(B403&lt;&gt;"",R403&lt;&gt;""),R403-B403,"")</f>
        <v/>
      </c>
    </row>
    <row r="404">
      <c r="T404">
        <f>IF(AND(B404&lt;&gt;"",R404&lt;&gt;""),R404-B404,"")</f>
        <v/>
      </c>
    </row>
    <row r="405">
      <c r="T405">
        <f>IF(AND(B405&lt;&gt;"",R405&lt;&gt;""),R405-B405,"")</f>
        <v/>
      </c>
    </row>
    <row r="406">
      <c r="T406">
        <f>IF(AND(B406&lt;&gt;"",R406&lt;&gt;""),R406-B406,"")</f>
        <v/>
      </c>
    </row>
    <row r="407">
      <c r="T407">
        <f>IF(AND(B407&lt;&gt;"",R407&lt;&gt;""),R407-B407,"")</f>
        <v/>
      </c>
    </row>
    <row r="408">
      <c r="T408">
        <f>IF(AND(B408&lt;&gt;"",R408&lt;&gt;""),R408-B408,"")</f>
        <v/>
      </c>
    </row>
    <row r="409">
      <c r="T409">
        <f>IF(AND(B409&lt;&gt;"",R409&lt;&gt;""),R409-B409,"")</f>
        <v/>
      </c>
    </row>
    <row r="410">
      <c r="T410">
        <f>IF(AND(B410&lt;&gt;"",R410&lt;&gt;""),R410-B410,"")</f>
        <v/>
      </c>
    </row>
    <row r="411">
      <c r="T411">
        <f>IF(AND(B411&lt;&gt;"",R411&lt;&gt;""),R411-B411,"")</f>
        <v/>
      </c>
    </row>
    <row r="412">
      <c r="T412">
        <f>IF(AND(B412&lt;&gt;"",R412&lt;&gt;""),R412-B412,"")</f>
        <v/>
      </c>
    </row>
    <row r="413">
      <c r="T413">
        <f>IF(AND(B413&lt;&gt;"",R413&lt;&gt;""),R413-B413,"")</f>
        <v/>
      </c>
    </row>
    <row r="414">
      <c r="T414">
        <f>IF(AND(B414&lt;&gt;"",R414&lt;&gt;""),R414-B414,"")</f>
        <v/>
      </c>
    </row>
    <row r="415">
      <c r="T415">
        <f>IF(AND(B415&lt;&gt;"",R415&lt;&gt;""),R415-B415,"")</f>
        <v/>
      </c>
    </row>
    <row r="416">
      <c r="T416">
        <f>IF(AND(B416&lt;&gt;"",R416&lt;&gt;""),R416-B416,"")</f>
        <v/>
      </c>
    </row>
    <row r="417">
      <c r="T417">
        <f>IF(AND(B417&lt;&gt;"",R417&lt;&gt;""),R417-B417,"")</f>
        <v/>
      </c>
    </row>
    <row r="418">
      <c r="T418">
        <f>IF(AND(B418&lt;&gt;"",R418&lt;&gt;""),R418-B418,"")</f>
        <v/>
      </c>
    </row>
    <row r="419">
      <c r="T419">
        <f>IF(AND(B419&lt;&gt;"",R419&lt;&gt;""),R419-B419,"")</f>
        <v/>
      </c>
    </row>
    <row r="420">
      <c r="T420">
        <f>IF(AND(B420&lt;&gt;"",R420&lt;&gt;""),R420-B420,"")</f>
        <v/>
      </c>
    </row>
    <row r="421">
      <c r="T421">
        <f>IF(AND(B421&lt;&gt;"",R421&lt;&gt;""),R421-B421,"")</f>
        <v/>
      </c>
    </row>
    <row r="422">
      <c r="T422">
        <f>IF(AND(B422&lt;&gt;"",R422&lt;&gt;""),R422-B422,"")</f>
        <v/>
      </c>
    </row>
    <row r="423">
      <c r="T423">
        <f>IF(AND(B423&lt;&gt;"",R423&lt;&gt;""),R423-B423,"")</f>
        <v/>
      </c>
    </row>
    <row r="424">
      <c r="T424">
        <f>IF(AND(B424&lt;&gt;"",R424&lt;&gt;""),R424-B424,"")</f>
        <v/>
      </c>
    </row>
    <row r="425">
      <c r="T425">
        <f>IF(AND(B425&lt;&gt;"",R425&lt;&gt;""),R425-B425,"")</f>
        <v/>
      </c>
    </row>
    <row r="426">
      <c r="T426">
        <f>IF(AND(B426&lt;&gt;"",R426&lt;&gt;""),R426-B426,"")</f>
        <v/>
      </c>
    </row>
    <row r="427">
      <c r="T427">
        <f>IF(AND(B427&lt;&gt;"",R427&lt;&gt;""),R427-B427,"")</f>
        <v/>
      </c>
    </row>
    <row r="428">
      <c r="T428">
        <f>IF(AND(B428&lt;&gt;"",R428&lt;&gt;""),R428-B428,"")</f>
        <v/>
      </c>
    </row>
    <row r="429">
      <c r="T429">
        <f>IF(AND(B429&lt;&gt;"",R429&lt;&gt;""),R429-B429,"")</f>
        <v/>
      </c>
    </row>
    <row r="430">
      <c r="T430">
        <f>IF(AND(B430&lt;&gt;"",R430&lt;&gt;""),R430-B430,"")</f>
        <v/>
      </c>
    </row>
    <row r="431">
      <c r="T431">
        <f>IF(AND(B431&lt;&gt;"",R431&lt;&gt;""),R431-B431,"")</f>
        <v/>
      </c>
    </row>
    <row r="432">
      <c r="T432">
        <f>IF(AND(B432&lt;&gt;"",R432&lt;&gt;""),R432-B432,"")</f>
        <v/>
      </c>
    </row>
    <row r="433">
      <c r="T433">
        <f>IF(AND(B433&lt;&gt;"",R433&lt;&gt;""),R433-B433,"")</f>
        <v/>
      </c>
    </row>
    <row r="434">
      <c r="T434">
        <f>IF(AND(B434&lt;&gt;"",R434&lt;&gt;""),R434-B434,"")</f>
        <v/>
      </c>
    </row>
    <row r="435">
      <c r="T435">
        <f>IF(AND(B435&lt;&gt;"",R435&lt;&gt;""),R435-B435,"")</f>
        <v/>
      </c>
    </row>
    <row r="436">
      <c r="T436">
        <f>IF(AND(B436&lt;&gt;"",R436&lt;&gt;""),R436-B436,"")</f>
        <v/>
      </c>
    </row>
    <row r="437">
      <c r="T437">
        <f>IF(AND(B437&lt;&gt;"",R437&lt;&gt;""),R437-B437,"")</f>
        <v/>
      </c>
    </row>
    <row r="438">
      <c r="T438">
        <f>IF(AND(B438&lt;&gt;"",R438&lt;&gt;""),R438-B438,"")</f>
        <v/>
      </c>
    </row>
    <row r="439">
      <c r="T439">
        <f>IF(AND(B439&lt;&gt;"",R439&lt;&gt;""),R439-B439,"")</f>
        <v/>
      </c>
    </row>
    <row r="440">
      <c r="T440">
        <f>IF(AND(B440&lt;&gt;"",R440&lt;&gt;""),R440-B440,"")</f>
        <v/>
      </c>
    </row>
    <row r="441">
      <c r="T441">
        <f>IF(AND(B441&lt;&gt;"",R441&lt;&gt;""),R441-B441,"")</f>
        <v/>
      </c>
    </row>
    <row r="442">
      <c r="T442">
        <f>IF(AND(B442&lt;&gt;"",R442&lt;&gt;""),R442-B442,"")</f>
        <v/>
      </c>
    </row>
    <row r="443">
      <c r="T443">
        <f>IF(AND(B443&lt;&gt;"",R443&lt;&gt;""),R443-B443,"")</f>
        <v/>
      </c>
    </row>
    <row r="444">
      <c r="T444">
        <f>IF(AND(B444&lt;&gt;"",R444&lt;&gt;""),R444-B444,"")</f>
        <v/>
      </c>
    </row>
    <row r="445">
      <c r="T445">
        <f>IF(AND(B445&lt;&gt;"",R445&lt;&gt;""),R445-B445,"")</f>
        <v/>
      </c>
    </row>
    <row r="446">
      <c r="T446">
        <f>IF(AND(B446&lt;&gt;"",R446&lt;&gt;""),R446-B446,"")</f>
        <v/>
      </c>
    </row>
    <row r="447">
      <c r="T447">
        <f>IF(AND(B447&lt;&gt;"",R447&lt;&gt;""),R447-B447,"")</f>
        <v/>
      </c>
    </row>
    <row r="448">
      <c r="T448">
        <f>IF(AND(B448&lt;&gt;"",R448&lt;&gt;""),R448-B448,"")</f>
        <v/>
      </c>
    </row>
    <row r="449">
      <c r="T449">
        <f>IF(AND(B449&lt;&gt;"",R449&lt;&gt;""),R449-B449,"")</f>
        <v/>
      </c>
    </row>
    <row r="450">
      <c r="T450">
        <f>IF(AND(B450&lt;&gt;"",R450&lt;&gt;""),R450-B450,"")</f>
        <v/>
      </c>
    </row>
    <row r="451">
      <c r="T451">
        <f>IF(AND(B451&lt;&gt;"",R451&lt;&gt;""),R451-B451,"")</f>
        <v/>
      </c>
    </row>
    <row r="452">
      <c r="T452">
        <f>IF(AND(B452&lt;&gt;"",R452&lt;&gt;""),R452-B452,"")</f>
        <v/>
      </c>
    </row>
    <row r="453">
      <c r="T453">
        <f>IF(AND(B453&lt;&gt;"",R453&lt;&gt;""),R453-B453,"")</f>
        <v/>
      </c>
    </row>
    <row r="454">
      <c r="T454">
        <f>IF(AND(B454&lt;&gt;"",R454&lt;&gt;""),R454-B454,"")</f>
        <v/>
      </c>
    </row>
    <row r="455">
      <c r="T455">
        <f>IF(AND(B455&lt;&gt;"",R455&lt;&gt;""),R455-B455,"")</f>
        <v/>
      </c>
    </row>
    <row r="456">
      <c r="T456">
        <f>IF(AND(B456&lt;&gt;"",R456&lt;&gt;""),R456-B456,"")</f>
        <v/>
      </c>
    </row>
    <row r="457">
      <c r="T457">
        <f>IF(AND(B457&lt;&gt;"",R457&lt;&gt;""),R457-B457,"")</f>
        <v/>
      </c>
    </row>
    <row r="458">
      <c r="T458">
        <f>IF(AND(B458&lt;&gt;"",R458&lt;&gt;""),R458-B458,"")</f>
        <v/>
      </c>
    </row>
    <row r="459">
      <c r="T459">
        <f>IF(AND(B459&lt;&gt;"",R459&lt;&gt;""),R459-B459,"")</f>
        <v/>
      </c>
    </row>
    <row r="460">
      <c r="T460">
        <f>IF(AND(B460&lt;&gt;"",R460&lt;&gt;""),R460-B460,"")</f>
        <v/>
      </c>
    </row>
    <row r="461">
      <c r="T461">
        <f>IF(AND(B461&lt;&gt;"",R461&lt;&gt;""),R461-B461,"")</f>
        <v/>
      </c>
    </row>
    <row r="462">
      <c r="T462">
        <f>IF(AND(B462&lt;&gt;"",R462&lt;&gt;""),R462-B462,"")</f>
        <v/>
      </c>
    </row>
    <row r="463">
      <c r="T463">
        <f>IF(AND(B463&lt;&gt;"",R463&lt;&gt;""),R463-B463,"")</f>
        <v/>
      </c>
    </row>
    <row r="464">
      <c r="T464">
        <f>IF(AND(B464&lt;&gt;"",R464&lt;&gt;""),R464-B464,"")</f>
        <v/>
      </c>
    </row>
    <row r="465">
      <c r="T465">
        <f>IF(AND(B465&lt;&gt;"",R465&lt;&gt;""),R465-B465,"")</f>
        <v/>
      </c>
    </row>
    <row r="466">
      <c r="T466">
        <f>IF(AND(B466&lt;&gt;"",R466&lt;&gt;""),R466-B466,"")</f>
        <v/>
      </c>
    </row>
    <row r="467">
      <c r="T467">
        <f>IF(AND(B467&lt;&gt;"",R467&lt;&gt;""),R467-B467,"")</f>
        <v/>
      </c>
    </row>
    <row r="468">
      <c r="T468">
        <f>IF(AND(B468&lt;&gt;"",R468&lt;&gt;""),R468-B468,"")</f>
        <v/>
      </c>
    </row>
    <row r="469">
      <c r="T469">
        <f>IF(AND(B469&lt;&gt;"",R469&lt;&gt;""),R469-B469,"")</f>
        <v/>
      </c>
    </row>
    <row r="470">
      <c r="T470">
        <f>IF(AND(B470&lt;&gt;"",R470&lt;&gt;""),R470-B470,"")</f>
        <v/>
      </c>
    </row>
    <row r="471">
      <c r="T471">
        <f>IF(AND(B471&lt;&gt;"",R471&lt;&gt;""),R471-B471,"")</f>
        <v/>
      </c>
    </row>
    <row r="472">
      <c r="T472">
        <f>IF(AND(B472&lt;&gt;"",R472&lt;&gt;""),R472-B472,"")</f>
        <v/>
      </c>
    </row>
    <row r="473">
      <c r="T473">
        <f>IF(AND(B473&lt;&gt;"",R473&lt;&gt;""),R473-B473,"")</f>
        <v/>
      </c>
    </row>
    <row r="474">
      <c r="T474">
        <f>IF(AND(B474&lt;&gt;"",R474&lt;&gt;""),R474-B474,"")</f>
        <v/>
      </c>
    </row>
    <row r="475">
      <c r="T475">
        <f>IF(AND(B475&lt;&gt;"",R475&lt;&gt;""),R475-B475,"")</f>
        <v/>
      </c>
    </row>
    <row r="476">
      <c r="T476">
        <f>IF(AND(B476&lt;&gt;"",R476&lt;&gt;""),R476-B476,"")</f>
        <v/>
      </c>
    </row>
    <row r="477">
      <c r="T477">
        <f>IF(AND(B477&lt;&gt;"",R477&lt;&gt;""),R477-B477,"")</f>
        <v/>
      </c>
    </row>
    <row r="478">
      <c r="T478">
        <f>IF(AND(B478&lt;&gt;"",R478&lt;&gt;""),R478-B478,"")</f>
        <v/>
      </c>
    </row>
    <row r="479">
      <c r="T479">
        <f>IF(AND(B479&lt;&gt;"",R479&lt;&gt;""),R479-B479,"")</f>
        <v/>
      </c>
    </row>
    <row r="480">
      <c r="T480">
        <f>IF(AND(B480&lt;&gt;"",R480&lt;&gt;""),R480-B480,"")</f>
        <v/>
      </c>
    </row>
    <row r="481">
      <c r="T481">
        <f>IF(AND(B481&lt;&gt;"",R481&lt;&gt;""),R481-B481,"")</f>
        <v/>
      </c>
    </row>
    <row r="482">
      <c r="T482">
        <f>IF(AND(B482&lt;&gt;"",R482&lt;&gt;""),R482-B482,"")</f>
        <v/>
      </c>
    </row>
    <row r="483">
      <c r="T483">
        <f>IF(AND(B483&lt;&gt;"",R483&lt;&gt;""),R483-B483,"")</f>
        <v/>
      </c>
    </row>
    <row r="484">
      <c r="T484">
        <f>IF(AND(B484&lt;&gt;"",R484&lt;&gt;""),R484-B484,"")</f>
        <v/>
      </c>
    </row>
    <row r="485">
      <c r="T485">
        <f>IF(AND(B485&lt;&gt;"",R485&lt;&gt;""),R485-B485,"")</f>
        <v/>
      </c>
    </row>
    <row r="486">
      <c r="T486">
        <f>IF(AND(B486&lt;&gt;"",R486&lt;&gt;""),R486-B486,"")</f>
        <v/>
      </c>
    </row>
    <row r="487">
      <c r="T487">
        <f>IF(AND(B487&lt;&gt;"",R487&lt;&gt;""),R487-B487,"")</f>
        <v/>
      </c>
    </row>
    <row r="488">
      <c r="T488">
        <f>IF(AND(B488&lt;&gt;"",R488&lt;&gt;""),R488-B488,"")</f>
        <v/>
      </c>
    </row>
    <row r="489">
      <c r="T489">
        <f>IF(AND(B489&lt;&gt;"",R489&lt;&gt;""),R489-B489,"")</f>
        <v/>
      </c>
    </row>
    <row r="490">
      <c r="T490">
        <f>IF(AND(B490&lt;&gt;"",R490&lt;&gt;""),R490-B490,"")</f>
        <v/>
      </c>
    </row>
    <row r="491">
      <c r="T491">
        <f>IF(AND(B491&lt;&gt;"",R491&lt;&gt;""),R491-B491,"")</f>
        <v/>
      </c>
    </row>
    <row r="492">
      <c r="T492">
        <f>IF(AND(B492&lt;&gt;"",R492&lt;&gt;""),R492-B492,"")</f>
        <v/>
      </c>
    </row>
    <row r="493">
      <c r="T493">
        <f>IF(AND(B493&lt;&gt;"",R493&lt;&gt;""),R493-B493,"")</f>
        <v/>
      </c>
    </row>
    <row r="494">
      <c r="T494">
        <f>IF(AND(B494&lt;&gt;"",R494&lt;&gt;""),R494-B494,"")</f>
        <v/>
      </c>
    </row>
    <row r="495">
      <c r="T495">
        <f>IF(AND(B495&lt;&gt;"",R495&lt;&gt;""),R495-B495,"")</f>
        <v/>
      </c>
    </row>
    <row r="496">
      <c r="T496">
        <f>IF(AND(B496&lt;&gt;"",R496&lt;&gt;""),R496-B496,"")</f>
        <v/>
      </c>
    </row>
    <row r="497">
      <c r="T497">
        <f>IF(AND(B497&lt;&gt;"",R497&lt;&gt;""),R497-B497,"")</f>
        <v/>
      </c>
    </row>
    <row r="498">
      <c r="T498">
        <f>IF(AND(B498&lt;&gt;"",R498&lt;&gt;""),R498-B498,"")</f>
        <v/>
      </c>
    </row>
    <row r="499">
      <c r="T499">
        <f>IF(AND(B499&lt;&gt;"",R499&lt;&gt;""),R499-B499,"")</f>
        <v/>
      </c>
    </row>
    <row r="500">
      <c r="T500">
        <f>IF(AND(B500&lt;&gt;"",R500&lt;&gt;""),R500-B500,"")</f>
        <v/>
      </c>
    </row>
  </sheetData>
  <autoFilter ref="A1:AC1"/>
  <conditionalFormatting sqref="N2:N500">
    <cfRule type="expression" priority="1" dxfId="0">
      <formula>EXACT($N2,"Crítica")</formula>
    </cfRule>
    <cfRule type="expression" priority="2" dxfId="1">
      <formula>EXACT($N2,"Alta")</formula>
    </cfRule>
  </conditionalFormatting>
  <conditionalFormatting sqref="S2:S500">
    <cfRule type="expression" priority="3" dxfId="2">
      <formula>EXACT($S2,"Fechado")</formula>
    </cfRule>
  </conditionalFormatting>
  <conditionalFormatting sqref="A2:AC500">
    <cfRule type="expression" priority="4" dxfId="3">
      <formula>AND(EXACT($S2,"Aberto"),$B2&lt;&gt;"",(TODAY()-$B2)&gt;30)</formula>
    </cfRule>
  </conditionalFormatting>
  <dataValidations count="11">
    <dataValidation sqref="H2:H500" showDropDown="0" showInputMessage="0" showErrorMessage="0" allowBlank="1" type="list">
      <formula1>=Listas!$A$2:$A$4</formula1>
    </dataValidation>
    <dataValidation sqref="I2:I500" showDropDown="0" showInputMessage="0" showErrorMessage="0" allowBlank="1" type="list">
      <formula1>=Listas!$B$2:$B$7</formula1>
    </dataValidation>
    <dataValidation sqref="J2:J500" showDropDown="0" showInputMessage="0" showErrorMessage="0" allowBlank="1" type="list">
      <formula1>=Listas!$C$2:$C$8</formula1>
    </dataValidation>
    <dataValidation sqref="K2:K500" showDropDown="0" showInputMessage="0" showErrorMessage="0" allowBlank="1" type="list">
      <formula1>=Listas!$D$2:$D$8</formula1>
    </dataValidation>
    <dataValidation sqref="L2:L500" showDropDown="0" showInputMessage="0" showErrorMessage="0" allowBlank="1" type="list">
      <formula1>=Listas!$E$2:$E$11</formula1>
    </dataValidation>
    <dataValidation sqref="N2:N500" showDropDown="0" showInputMessage="0" showErrorMessage="0" allowBlank="1" type="list">
      <formula1>=Listas!$F$2:$F$5</formula1>
    </dataValidation>
    <dataValidation sqref="O2:O500" showDropDown="0" showInputMessage="0" showErrorMessage="0" allowBlank="1" type="list">
      <formula1>=Listas!$G$2:$G$4</formula1>
    </dataValidation>
    <dataValidation sqref="P2:P500" showDropDown="0" showInputMessage="0" showErrorMessage="0" allowBlank="1" type="list">
      <formula1>=Listas!$H$2:$H$4</formula1>
    </dataValidation>
    <dataValidation sqref="S2:S500" showDropDown="0" showInputMessage="0" showErrorMessage="0" allowBlank="1" type="list">
      <formula1>=Listas!$I$2:$I$7</formula1>
    </dataValidation>
    <dataValidation sqref="U2:U500" showDropDown="0" showInputMessage="0" showErrorMessage="0" allowBlank="1" type="list">
      <formula1>=Listas!$J$2:$J$3</formula1>
    </dataValidation>
    <dataValidation sqref="AB2:AB500" showDropDown="0" showInputMessage="0" showErrorMessage="0" allowBlank="1" type="list">
      <formula1>=Listas!$D$2:$D$8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4" max="4"/>
    <col width="12" customWidth="1" min="5" max="5"/>
  </cols>
  <sheetData>
    <row r="1">
      <c r="A1" s="3" t="inlineStr">
        <is>
          <t>Painel de Defeitos</t>
        </is>
      </c>
    </row>
    <row r="3">
      <c r="A3" s="4" t="inlineStr">
        <is>
          <t>Total de Defeitos</t>
        </is>
      </c>
      <c r="B3">
        <f>COUNTA(Defeitos!A2:A500)</f>
        <v/>
      </c>
    </row>
    <row r="5">
      <c r="A5" s="5" t="inlineStr">
        <is>
          <t>Defeitos por Severidade</t>
        </is>
      </c>
      <c r="D5" s="5" t="inlineStr">
        <is>
          <t>Tendência Mensal (Identificados)</t>
        </is>
      </c>
    </row>
    <row r="6">
      <c r="A6" s="4" t="inlineStr">
        <is>
          <t>Categoria</t>
        </is>
      </c>
      <c r="B6" s="4" t="inlineStr">
        <is>
          <t>Quantidade</t>
        </is>
      </c>
      <c r="D6" s="4" t="inlineStr">
        <is>
          <t>Mês</t>
        </is>
      </c>
      <c r="E6" s="4" t="inlineStr">
        <is>
          <t>Quantidade</t>
        </is>
      </c>
    </row>
    <row r="7">
      <c r="A7" t="inlineStr">
        <is>
          <t>Crítica</t>
        </is>
      </c>
      <c r="B7">
        <f>COUNTIF(Defeitos!$N$2:$N$500,$A7)</f>
        <v/>
      </c>
      <c r="D7" t="inlineStr">
        <is>
          <t>2026-01</t>
        </is>
      </c>
      <c r="E7">
        <f>COUNTIFS(Defeitos!$B$2:$B$500,"&gt;="&amp;DATE(2026,1,1),Defeitos!$B$2:$B$500,"&lt;="&amp;DATE(2026,1,DAY(EOMONTH(DATE(2026,1,1),0))))</f>
        <v/>
      </c>
    </row>
    <row r="8">
      <c r="A8" t="inlineStr">
        <is>
          <t>Alta</t>
        </is>
      </c>
      <c r="B8">
        <f>COUNTIF(Defeitos!$N$2:$N$500,$A8)</f>
        <v/>
      </c>
      <c r="D8" t="inlineStr">
        <is>
          <t>2026-02</t>
        </is>
      </c>
      <c r="E8">
        <f>COUNTIFS(Defeitos!$B$2:$B$500,"&gt;="&amp;DATE(2026,2,1),Defeitos!$B$2:$B$500,"&lt;="&amp;DATE(2026,2,DAY(EOMONTH(DATE(2026,2,1),0))))</f>
        <v/>
      </c>
    </row>
    <row r="9">
      <c r="A9" t="inlineStr">
        <is>
          <t>Média</t>
        </is>
      </c>
      <c r="B9">
        <f>COUNTIF(Defeitos!$N$2:$N$500,$A9)</f>
        <v/>
      </c>
      <c r="D9" t="inlineStr">
        <is>
          <t>2026-03</t>
        </is>
      </c>
      <c r="E9">
        <f>COUNTIFS(Defeitos!$B$2:$B$500,"&gt;="&amp;DATE(2026,3,1),Defeitos!$B$2:$B$500,"&lt;="&amp;DATE(2026,3,DAY(EOMONTH(DATE(2026,3,1),0))))</f>
        <v/>
      </c>
    </row>
    <row r="10">
      <c r="A10" t="inlineStr">
        <is>
          <t>Baixa</t>
        </is>
      </c>
      <c r="B10">
        <f>COUNTIF(Defeitos!$N$2:$N$500,$A10)</f>
        <v/>
      </c>
      <c r="D10" t="inlineStr">
        <is>
          <t>2026-04</t>
        </is>
      </c>
      <c r="E10">
        <f>COUNTIFS(Defeitos!$B$2:$B$500,"&gt;="&amp;DATE(2026,4,1),Defeitos!$B$2:$B$500,"&lt;="&amp;DATE(2026,4,DAY(EOMONTH(DATE(2026,4,1),0))))</f>
        <v/>
      </c>
    </row>
    <row r="11">
      <c r="D11" t="inlineStr">
        <is>
          <t>2026-05</t>
        </is>
      </c>
      <c r="E11">
        <f>COUNTIFS(Defeitos!$B$2:$B$500,"&gt;="&amp;DATE(2026,5,1),Defeitos!$B$2:$B$500,"&lt;="&amp;DATE(2026,5,DAY(EOMONTH(DATE(2026,5,1),0))))</f>
        <v/>
      </c>
    </row>
    <row r="12">
      <c r="D12" t="inlineStr">
        <is>
          <t>2026-06</t>
        </is>
      </c>
      <c r="E12">
        <f>COUNTIFS(Defeitos!$B$2:$B$500,"&gt;="&amp;DATE(2026,6,1),Defeitos!$B$2:$B$500,"&lt;="&amp;DATE(2026,6,DAY(EOMONTH(DATE(2026,6,1),0))))</f>
        <v/>
      </c>
    </row>
    <row r="13">
      <c r="A13" s="5" t="inlineStr">
        <is>
          <t>Defeitos por Tipo</t>
        </is>
      </c>
      <c r="D13" t="inlineStr">
        <is>
          <t>2026-07</t>
        </is>
      </c>
      <c r="E13">
        <f>COUNTIFS(Defeitos!$B$2:$B$500,"&gt;="&amp;DATE(2026,7,1),Defeitos!$B$2:$B$500,"&lt;="&amp;DATE(2026,7,DAY(EOMONTH(DATE(2026,7,1),0))))</f>
        <v/>
      </c>
    </row>
    <row r="14">
      <c r="A14" s="4" t="inlineStr">
        <is>
          <t>Categoria</t>
        </is>
      </c>
      <c r="B14" s="4" t="inlineStr">
        <is>
          <t>Quantidade</t>
        </is>
      </c>
      <c r="D14" t="inlineStr">
        <is>
          <t>2026-08</t>
        </is>
      </c>
      <c r="E14">
        <f>COUNTIFS(Defeitos!$B$2:$B$500,"&gt;="&amp;DATE(2026,8,1),Defeitos!$B$2:$B$500,"&lt;="&amp;DATE(2026,8,DAY(EOMONTH(DATE(2026,8,1),0))))</f>
        <v/>
      </c>
    </row>
    <row r="15">
      <c r="A15" t="inlineStr">
        <is>
          <t>Funcional</t>
        </is>
      </c>
      <c r="B15">
        <f>COUNTIF(Defeitos!$L$2:$L$500,$A15)</f>
        <v/>
      </c>
      <c r="D15" t="inlineStr">
        <is>
          <t>2026-09</t>
        </is>
      </c>
      <c r="E15">
        <f>COUNTIFS(Defeitos!$B$2:$B$500,"&gt;="&amp;DATE(2026,9,1),Defeitos!$B$2:$B$500,"&lt;="&amp;DATE(2026,9,DAY(EOMONTH(DATE(2026,9,1),0))))</f>
        <v/>
      </c>
    </row>
    <row r="16">
      <c r="A16" t="inlineStr">
        <is>
          <t>Interface</t>
        </is>
      </c>
      <c r="B16">
        <f>COUNTIF(Defeitos!$L$2:$L$500,$A16)</f>
        <v/>
      </c>
      <c r="D16" t="inlineStr">
        <is>
          <t>2026-10</t>
        </is>
      </c>
      <c r="E16">
        <f>COUNTIFS(Defeitos!$B$2:$B$500,"&gt;="&amp;DATE(2026,10,1),Defeitos!$B$2:$B$500,"&lt;="&amp;DATE(2026,10,DAY(EOMONTH(DATE(2026,10,1),0))))</f>
        <v/>
      </c>
    </row>
    <row r="17">
      <c r="A17" t="inlineStr">
        <is>
          <t>Desempenho</t>
        </is>
      </c>
      <c r="B17">
        <f>COUNTIF(Defeitos!$L$2:$L$500,$A17)</f>
        <v/>
      </c>
      <c r="D17" t="inlineStr">
        <is>
          <t>2026-11</t>
        </is>
      </c>
      <c r="E17">
        <f>COUNTIFS(Defeitos!$B$2:$B$500,"&gt;="&amp;DATE(2026,11,1),Defeitos!$B$2:$B$500,"&lt;="&amp;DATE(2026,11,DAY(EOMONTH(DATE(2026,11,1),0))))</f>
        <v/>
      </c>
    </row>
    <row r="18">
      <c r="A18" t="inlineStr">
        <is>
          <t>Segurança</t>
        </is>
      </c>
      <c r="B18">
        <f>COUNTIF(Defeitos!$L$2:$L$500,$A18)</f>
        <v/>
      </c>
      <c r="D18" t="inlineStr">
        <is>
          <t>2026-12</t>
        </is>
      </c>
      <c r="E18">
        <f>COUNTIFS(Defeitos!$B$2:$B$500,"&gt;="&amp;DATE(2026,12,1),Defeitos!$B$2:$B$500,"&lt;="&amp;DATE(2026,12,DAY(EOMONTH(DATE(2026,12,1),0))))</f>
        <v/>
      </c>
    </row>
    <row r="19">
      <c r="A19" t="inlineStr">
        <is>
          <t>Usabilidade</t>
        </is>
      </c>
      <c r="B19">
        <f>COUNTIF(Defeitos!$L$2:$L$500,$A19)</f>
        <v/>
      </c>
    </row>
    <row r="20">
      <c r="A20" t="inlineStr">
        <is>
          <t>Compatibilidade</t>
        </is>
      </c>
      <c r="B20">
        <f>COUNTIF(Defeitos!$L$2:$L$500,$A20)</f>
        <v/>
      </c>
    </row>
    <row r="21">
      <c r="A21" t="inlineStr">
        <is>
          <t>Documentação</t>
        </is>
      </c>
      <c r="B21">
        <f>COUNTIF(Defeitos!$L$2:$L$500,$A21)</f>
        <v/>
      </c>
      <c r="D21" s="5" t="inlineStr">
        <is>
          <t>Defeitos por Módulo</t>
        </is>
      </c>
    </row>
    <row r="22">
      <c r="A22" t="inlineStr">
        <is>
          <t>Dados</t>
        </is>
      </c>
      <c r="B22">
        <f>COUNTIF(Defeitos!$L$2:$L$500,$A22)</f>
        <v/>
      </c>
      <c r="D22" s="4" t="inlineStr">
        <is>
          <t>Módulo / Componente</t>
        </is>
      </c>
      <c r="E22" s="4" t="inlineStr">
        <is>
          <t>Quantidade</t>
        </is>
      </c>
    </row>
    <row r="23">
      <c r="A23" t="inlineStr">
        <is>
          <t>Infraestrutura</t>
        </is>
      </c>
      <c r="B23">
        <f>COUNTIF(Defeitos!$L$2:$L$500,$A23)</f>
        <v/>
      </c>
      <c r="E23">
        <f>IF($D23="","",COUNTIF(Defeitos!$F$2:$F$500,$D23))</f>
        <v/>
      </c>
    </row>
    <row r="24">
      <c r="A24" t="inlineStr">
        <is>
          <t>Outro</t>
        </is>
      </c>
      <c r="B24">
        <f>COUNTIF(Defeitos!$L$2:$L$500,$A24)</f>
        <v/>
      </c>
      <c r="E24">
        <f>IF($D24="","",COUNTIF(Defeitos!$F$2:$F$500,$D24))</f>
        <v/>
      </c>
    </row>
    <row r="25">
      <c r="E25">
        <f>IF($D25="","",COUNTIF(Defeitos!$F$2:$F$500,$D25))</f>
        <v/>
      </c>
    </row>
    <row r="26">
      <c r="E26">
        <f>IF($D26="","",COUNTIF(Defeitos!$F$2:$F$500,$D26))</f>
        <v/>
      </c>
    </row>
    <row r="27">
      <c r="A27" s="5" t="inlineStr">
        <is>
          <t>Defeitos por Fase de Introdução</t>
        </is>
      </c>
      <c r="E27">
        <f>IF($D27="","",COUNTIF(Defeitos!$F$2:$F$500,$D27))</f>
        <v/>
      </c>
    </row>
    <row r="28">
      <c r="A28" s="4" t="inlineStr">
        <is>
          <t>Categoria</t>
        </is>
      </c>
      <c r="B28" s="4" t="inlineStr">
        <is>
          <t>Quantidade</t>
        </is>
      </c>
      <c r="E28">
        <f>IF($D28="","",COUNTIF(Defeitos!$F$2:$F$500,$D28))</f>
        <v/>
      </c>
    </row>
    <row r="29">
      <c r="A29" t="inlineStr">
        <is>
          <t>Requisitos</t>
        </is>
      </c>
      <c r="B29">
        <f>COUNTIF(Defeitos!$J$2:$J$500,$A29)</f>
        <v/>
      </c>
      <c r="E29">
        <f>IF($D29="","",COUNTIF(Defeitos!$F$2:$F$500,$D29))</f>
        <v/>
      </c>
    </row>
    <row r="30">
      <c r="A30" t="inlineStr">
        <is>
          <t>Design</t>
        </is>
      </c>
      <c r="B30">
        <f>COUNTIF(Defeitos!$J$2:$J$500,$A30)</f>
        <v/>
      </c>
      <c r="E30">
        <f>IF($D30="","",COUNTIF(Defeitos!$F$2:$F$500,$D30))</f>
        <v/>
      </c>
    </row>
    <row r="31">
      <c r="A31" t="inlineStr">
        <is>
          <t>Codificação</t>
        </is>
      </c>
      <c r="B31">
        <f>COUNTIF(Defeitos!$J$2:$J$500,$A31)</f>
        <v/>
      </c>
      <c r="E31">
        <f>IF($D31="","",COUNTIF(Defeitos!$F$2:$F$500,$D31))</f>
        <v/>
      </c>
    </row>
    <row r="32">
      <c r="A32" t="inlineStr">
        <is>
          <t>Integração</t>
        </is>
      </c>
      <c r="B32">
        <f>COUNTIF(Defeitos!$J$2:$J$500,$A32)</f>
        <v/>
      </c>
      <c r="E32">
        <f>IF($D32="","",COUNTIF(Defeitos!$F$2:$F$500,$D32))</f>
        <v/>
      </c>
    </row>
    <row r="33">
      <c r="A33" t="inlineStr">
        <is>
          <t>Teste</t>
        </is>
      </c>
      <c r="B33">
        <f>COUNTIF(Defeitos!$J$2:$J$500,$A33)</f>
        <v/>
      </c>
    </row>
    <row r="34">
      <c r="A34" t="inlineStr">
        <is>
          <t>Implantação</t>
        </is>
      </c>
      <c r="B34">
        <f>COUNTIF(Defeitos!$J$2:$J$500,$A34)</f>
        <v/>
      </c>
    </row>
    <row r="35">
      <c r="A35" t="inlineStr">
        <is>
          <t>Produção</t>
        </is>
      </c>
      <c r="B35">
        <f>COUNTIF(Defeitos!$J$2:$J$500,$A35)</f>
        <v/>
      </c>
    </row>
    <row r="38">
      <c r="A38" s="5" t="inlineStr">
        <is>
          <t>Defeitos por Status</t>
        </is>
      </c>
    </row>
    <row r="39">
      <c r="A39" s="4" t="inlineStr">
        <is>
          <t>Categoria</t>
        </is>
      </c>
      <c r="B39" s="4" t="inlineStr">
        <is>
          <t>Quantidade</t>
        </is>
      </c>
    </row>
    <row r="40">
      <c r="A40" t="inlineStr">
        <is>
          <t>Aberto</t>
        </is>
      </c>
      <c r="B40">
        <f>COUNTIF(Defeitos!$S$2:$S$500,$A40)</f>
        <v/>
      </c>
    </row>
    <row r="41">
      <c r="A41" t="inlineStr">
        <is>
          <t>Em Análise</t>
        </is>
      </c>
      <c r="B41">
        <f>COUNTIF(Defeitos!$S$2:$S$500,$A41)</f>
        <v/>
      </c>
    </row>
    <row r="42">
      <c r="A42" t="inlineStr">
        <is>
          <t>Em Correção</t>
        </is>
      </c>
      <c r="B42">
        <f>COUNTIF(Defeitos!$S$2:$S$500,$A42)</f>
        <v/>
      </c>
    </row>
    <row r="43">
      <c r="A43" t="inlineStr">
        <is>
          <t>Em Reteste</t>
        </is>
      </c>
      <c r="B43">
        <f>COUNTIF(Defeitos!$S$2:$S$500,$A43)</f>
        <v/>
      </c>
    </row>
    <row r="44">
      <c r="A44" t="inlineStr">
        <is>
          <t>Fechado</t>
        </is>
      </c>
      <c r="B44">
        <f>COUNTIF(Defeitos!$S$2:$S$500,$A44)</f>
        <v/>
      </c>
    </row>
    <row r="45">
      <c r="A45" t="inlineStr">
        <is>
          <t>Cancelado</t>
        </is>
      </c>
      <c r="B45">
        <f>COUNTIF(Defeitos!$S$2:$S$500,$A45)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2026-06-06T16:38:29Z</dcterms:created>
  <dcterms:modified xsi:type="dcterms:W3CDTF">2026-06-06T16:38:29Z</dcterms:modified>
</cp:coreProperties>
</file>