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as" sheetId="1" state="visible" r:id="rId1"/>
    <sheet name="Defeitos" sheetId="2" state="visible" r:id="rId2"/>
    <sheet name="Testes" sheetId="3" state="visible" r:id="rId3"/>
    <sheet name="Analises" sheetId="4" state="visible" r:id="rId4"/>
    <sheet name="Dashboards" sheetId="5" state="visible" r:id="rId5"/>
    <sheet name="Listas" sheetId="6" state="visible" r:id="rId6"/>
  </sheets>
  <definedNames>
    <definedName name="_xlnm._FilterDatabase" localSheetId="0" hidden="1">'Metricas'!$A$1:$J$1</definedName>
    <definedName name="_xlnm._FilterDatabase" localSheetId="1" hidden="1">'Defeitos'!$A$1:$D$1</definedName>
    <definedName name="_xlnm._FilterDatabase" localSheetId="2" hidden="1">'Testes'!$A$1:$E$1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  <font>
      <b val="1"/>
      <color rgb="001F4E78"/>
    </font>
    <font>
      <b val="1"/>
    </font>
    <font>
      <b val="1"/>
      <color rgb="001F4E78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Defeitos por Severidade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'Analises'!E3</f>
            </strRef>
          </tx>
          <spPr>
            <a:ln>
              <a:prstDash val="solid"/>
            </a:ln>
          </spPr>
          <cat>
            <strRef>
              <f>'Analises'!$D$4:$D$7</f>
            </strRef>
          </cat>
          <val>
            <numRef>
              <f>'Analises'!$E$4:$E$7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Cumprimento de Metas</a:t>
            </a:r>
          </a:p>
        </rich>
      </tx>
    </title>
    <plotArea>
      <pieChart>
        <varyColors val="1"/>
        <ser>
          <idx val="0"/>
          <order val="0"/>
          <tx>
            <strRef>
              <f>'Analises'!E10</f>
            </strRef>
          </tx>
          <spPr>
            <a:ln>
              <a:prstDash val="solid"/>
            </a:ln>
          </spPr>
          <cat>
            <strRef>
              <f>'Analises'!$D$11:$D$12</f>
            </strRef>
          </cat>
          <val>
            <numRef>
              <f>'Analises'!$E$11:$E$12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Evolução das Métricas (Mensal)</a:t>
            </a:r>
          </a:p>
        </rich>
      </tx>
    </title>
    <plotArea>
      <lineChart>
        <grouping val="standard"/>
        <ser>
          <idx val="0"/>
          <order val="0"/>
          <tx>
            <strRef>
              <f>'Analises'!I3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'Analises'!$H$4:$H$15</f>
            </strRef>
          </cat>
          <val>
            <numRef>
              <f>'Analises'!$I$4:$I$15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9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26</row>
      <rowOff>0</rowOff>
    </from>
    <ext cx="540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ID</t>
        </is>
      </c>
      <c r="B1" s="1" t="inlineStr">
        <is>
          <t>Projeto</t>
        </is>
      </c>
      <c r="C1" s="1" t="inlineStr">
        <is>
          <t>Sprint</t>
        </is>
      </c>
      <c r="D1" s="1" t="inlineStr">
        <is>
          <t>Data</t>
        </is>
      </c>
      <c r="E1" s="1" t="inlineStr">
        <is>
          <t>Métrica</t>
        </is>
      </c>
      <c r="F1" s="1" t="inlineStr">
        <is>
          <t>Valor</t>
        </is>
      </c>
      <c r="G1" s="1" t="inlineStr">
        <is>
          <t>Meta</t>
        </is>
      </c>
      <c r="H1" s="1" t="inlineStr">
        <is>
          <t>Unidade</t>
        </is>
      </c>
      <c r="I1" s="1" t="inlineStr">
        <is>
          <t>Atingiu Meta</t>
        </is>
      </c>
      <c r="J1" s="1" t="inlineStr">
        <is>
          <t>Responsável</t>
        </is>
      </c>
    </row>
    <row r="2">
      <c r="I2">
        <f>IF(AND(F2&lt;&gt;"",G2&lt;&gt;""),IF(F2&gt;=G2,"Sim","Não"),"")</f>
        <v/>
      </c>
    </row>
    <row r="3">
      <c r="I3">
        <f>IF(AND(F3&lt;&gt;"",G3&lt;&gt;""),IF(F3&gt;=G3,"Sim","Não"),"")</f>
        <v/>
      </c>
    </row>
    <row r="4">
      <c r="I4">
        <f>IF(AND(F4&lt;&gt;"",G4&lt;&gt;""),IF(F4&gt;=G4,"Sim","Não"),"")</f>
        <v/>
      </c>
    </row>
    <row r="5">
      <c r="I5">
        <f>IF(AND(F5&lt;&gt;"",G5&lt;&gt;""),IF(F5&gt;=G5,"Sim","Não"),"")</f>
        <v/>
      </c>
    </row>
    <row r="6">
      <c r="I6">
        <f>IF(AND(F6&lt;&gt;"",G6&lt;&gt;""),IF(F6&gt;=G6,"Sim","Não"),"")</f>
        <v/>
      </c>
    </row>
    <row r="7">
      <c r="I7">
        <f>IF(AND(F7&lt;&gt;"",G7&lt;&gt;""),IF(F7&gt;=G7,"Sim","Não"),"")</f>
        <v/>
      </c>
    </row>
    <row r="8">
      <c r="I8">
        <f>IF(AND(F8&lt;&gt;"",G8&lt;&gt;""),IF(F8&gt;=G8,"Sim","Não"),"")</f>
        <v/>
      </c>
    </row>
    <row r="9">
      <c r="I9">
        <f>IF(AND(F9&lt;&gt;"",G9&lt;&gt;""),IF(F9&gt;=G9,"Sim","Não"),"")</f>
        <v/>
      </c>
    </row>
    <row r="10">
      <c r="I10">
        <f>IF(AND(F10&lt;&gt;"",G10&lt;&gt;""),IF(F10&gt;=G10,"Sim","Não"),"")</f>
        <v/>
      </c>
    </row>
    <row r="11">
      <c r="I11">
        <f>IF(AND(F11&lt;&gt;"",G11&lt;&gt;""),IF(F11&gt;=G11,"Sim","Não"),"")</f>
        <v/>
      </c>
    </row>
    <row r="12">
      <c r="I12">
        <f>IF(AND(F12&lt;&gt;"",G12&lt;&gt;""),IF(F12&gt;=G12,"Sim","Não"),"")</f>
        <v/>
      </c>
    </row>
    <row r="13">
      <c r="I13">
        <f>IF(AND(F13&lt;&gt;"",G13&lt;&gt;""),IF(F13&gt;=G13,"Sim","Não"),"")</f>
        <v/>
      </c>
    </row>
    <row r="14">
      <c r="I14">
        <f>IF(AND(F14&lt;&gt;"",G14&lt;&gt;""),IF(F14&gt;=G14,"Sim","Não"),"")</f>
        <v/>
      </c>
    </row>
    <row r="15">
      <c r="I15">
        <f>IF(AND(F15&lt;&gt;"",G15&lt;&gt;""),IF(F15&gt;=G15,"Sim","Não"),"")</f>
        <v/>
      </c>
    </row>
    <row r="16">
      <c r="I16">
        <f>IF(AND(F16&lt;&gt;"",G16&lt;&gt;""),IF(F16&gt;=G16,"Sim","Não"),"")</f>
        <v/>
      </c>
    </row>
    <row r="17">
      <c r="I17">
        <f>IF(AND(F17&lt;&gt;"",G17&lt;&gt;""),IF(F17&gt;=G17,"Sim","Não"),"")</f>
        <v/>
      </c>
    </row>
    <row r="18">
      <c r="I18">
        <f>IF(AND(F18&lt;&gt;"",G18&lt;&gt;""),IF(F18&gt;=G18,"Sim","Não"),"")</f>
        <v/>
      </c>
    </row>
    <row r="19">
      <c r="I19">
        <f>IF(AND(F19&lt;&gt;"",G19&lt;&gt;""),IF(F19&gt;=G19,"Sim","Não"),"")</f>
        <v/>
      </c>
    </row>
    <row r="20">
      <c r="I20">
        <f>IF(AND(F20&lt;&gt;"",G20&lt;&gt;""),IF(F20&gt;=G20,"Sim","Não"),"")</f>
        <v/>
      </c>
    </row>
    <row r="21">
      <c r="I21">
        <f>IF(AND(F21&lt;&gt;"",G21&lt;&gt;""),IF(F21&gt;=G21,"Sim","Não"),"")</f>
        <v/>
      </c>
    </row>
    <row r="22">
      <c r="I22">
        <f>IF(AND(F22&lt;&gt;"",G22&lt;&gt;""),IF(F22&gt;=G22,"Sim","Não"),"")</f>
        <v/>
      </c>
    </row>
    <row r="23">
      <c r="I23">
        <f>IF(AND(F23&lt;&gt;"",G23&lt;&gt;""),IF(F23&gt;=G23,"Sim","Não"),"")</f>
        <v/>
      </c>
    </row>
    <row r="24">
      <c r="I24">
        <f>IF(AND(F24&lt;&gt;"",G24&lt;&gt;""),IF(F24&gt;=G24,"Sim","Não"),"")</f>
        <v/>
      </c>
    </row>
    <row r="25">
      <c r="I25">
        <f>IF(AND(F25&lt;&gt;"",G25&lt;&gt;""),IF(F25&gt;=G25,"Sim","Não"),"")</f>
        <v/>
      </c>
    </row>
    <row r="26">
      <c r="I26">
        <f>IF(AND(F26&lt;&gt;"",G26&lt;&gt;""),IF(F26&gt;=G26,"Sim","Não"),"")</f>
        <v/>
      </c>
    </row>
    <row r="27">
      <c r="I27">
        <f>IF(AND(F27&lt;&gt;"",G27&lt;&gt;""),IF(F27&gt;=G27,"Sim","Não"),"")</f>
        <v/>
      </c>
    </row>
    <row r="28">
      <c r="I28">
        <f>IF(AND(F28&lt;&gt;"",G28&lt;&gt;""),IF(F28&gt;=G28,"Sim","Não"),"")</f>
        <v/>
      </c>
    </row>
    <row r="29">
      <c r="I29">
        <f>IF(AND(F29&lt;&gt;"",G29&lt;&gt;""),IF(F29&gt;=G29,"Sim","Não"),"")</f>
        <v/>
      </c>
    </row>
    <row r="30">
      <c r="I30">
        <f>IF(AND(F30&lt;&gt;"",G30&lt;&gt;""),IF(F30&gt;=G30,"Sim","Não"),"")</f>
        <v/>
      </c>
    </row>
    <row r="31">
      <c r="I31">
        <f>IF(AND(F31&lt;&gt;"",G31&lt;&gt;""),IF(F31&gt;=G31,"Sim","Não"),"")</f>
        <v/>
      </c>
    </row>
    <row r="32">
      <c r="I32">
        <f>IF(AND(F32&lt;&gt;"",G32&lt;&gt;""),IF(F32&gt;=G32,"Sim","Não"),"")</f>
        <v/>
      </c>
    </row>
    <row r="33">
      <c r="I33">
        <f>IF(AND(F33&lt;&gt;"",G33&lt;&gt;""),IF(F33&gt;=G33,"Sim","Não"),"")</f>
        <v/>
      </c>
    </row>
    <row r="34">
      <c r="I34">
        <f>IF(AND(F34&lt;&gt;"",G34&lt;&gt;""),IF(F34&gt;=G34,"Sim","Não"),"")</f>
        <v/>
      </c>
    </row>
    <row r="35">
      <c r="I35">
        <f>IF(AND(F35&lt;&gt;"",G35&lt;&gt;""),IF(F35&gt;=G35,"Sim","Não"),"")</f>
        <v/>
      </c>
    </row>
    <row r="36">
      <c r="I36">
        <f>IF(AND(F36&lt;&gt;"",G36&lt;&gt;""),IF(F36&gt;=G36,"Sim","Não"),"")</f>
        <v/>
      </c>
    </row>
    <row r="37">
      <c r="I37">
        <f>IF(AND(F37&lt;&gt;"",G37&lt;&gt;""),IF(F37&gt;=G37,"Sim","Não"),"")</f>
        <v/>
      </c>
    </row>
    <row r="38">
      <c r="I38">
        <f>IF(AND(F38&lt;&gt;"",G38&lt;&gt;""),IF(F38&gt;=G38,"Sim","Não"),"")</f>
        <v/>
      </c>
    </row>
    <row r="39">
      <c r="I39">
        <f>IF(AND(F39&lt;&gt;"",G39&lt;&gt;""),IF(F39&gt;=G39,"Sim","Não"),"")</f>
        <v/>
      </c>
    </row>
    <row r="40">
      <c r="I40">
        <f>IF(AND(F40&lt;&gt;"",G40&lt;&gt;""),IF(F40&gt;=G40,"Sim","Não"),"")</f>
        <v/>
      </c>
    </row>
    <row r="41">
      <c r="I41">
        <f>IF(AND(F41&lt;&gt;"",G41&lt;&gt;""),IF(F41&gt;=G41,"Sim","Não"),"")</f>
        <v/>
      </c>
    </row>
    <row r="42">
      <c r="I42">
        <f>IF(AND(F42&lt;&gt;"",G42&lt;&gt;""),IF(F42&gt;=G42,"Sim","Não"),"")</f>
        <v/>
      </c>
    </row>
    <row r="43">
      <c r="I43">
        <f>IF(AND(F43&lt;&gt;"",G43&lt;&gt;""),IF(F43&gt;=G43,"Sim","Não"),"")</f>
        <v/>
      </c>
    </row>
    <row r="44">
      <c r="I44">
        <f>IF(AND(F44&lt;&gt;"",G44&lt;&gt;""),IF(F44&gt;=G44,"Sim","Não"),"")</f>
        <v/>
      </c>
    </row>
    <row r="45">
      <c r="I45">
        <f>IF(AND(F45&lt;&gt;"",G45&lt;&gt;""),IF(F45&gt;=G45,"Sim","Não"),"")</f>
        <v/>
      </c>
    </row>
    <row r="46">
      <c r="I46">
        <f>IF(AND(F46&lt;&gt;"",G46&lt;&gt;""),IF(F46&gt;=G46,"Sim","Não"),"")</f>
        <v/>
      </c>
    </row>
    <row r="47">
      <c r="I47">
        <f>IF(AND(F47&lt;&gt;"",G47&lt;&gt;""),IF(F47&gt;=G47,"Sim","Não"),"")</f>
        <v/>
      </c>
    </row>
    <row r="48">
      <c r="I48">
        <f>IF(AND(F48&lt;&gt;"",G48&lt;&gt;""),IF(F48&gt;=G48,"Sim","Não"),"")</f>
        <v/>
      </c>
    </row>
    <row r="49">
      <c r="I49">
        <f>IF(AND(F49&lt;&gt;"",G49&lt;&gt;""),IF(F49&gt;=G49,"Sim","Não"),"")</f>
        <v/>
      </c>
    </row>
    <row r="50">
      <c r="I50">
        <f>IF(AND(F50&lt;&gt;"",G50&lt;&gt;""),IF(F50&gt;=G50,"Sim","Não"),"")</f>
        <v/>
      </c>
    </row>
    <row r="51">
      <c r="I51">
        <f>IF(AND(F51&lt;&gt;"",G51&lt;&gt;""),IF(F51&gt;=G51,"Sim","Não"),"")</f>
        <v/>
      </c>
    </row>
    <row r="52">
      <c r="I52">
        <f>IF(AND(F52&lt;&gt;"",G52&lt;&gt;""),IF(F52&gt;=G52,"Sim","Não"),"")</f>
        <v/>
      </c>
    </row>
    <row r="53">
      <c r="I53">
        <f>IF(AND(F53&lt;&gt;"",G53&lt;&gt;""),IF(F53&gt;=G53,"Sim","Não"),"")</f>
        <v/>
      </c>
    </row>
    <row r="54">
      <c r="I54">
        <f>IF(AND(F54&lt;&gt;"",G54&lt;&gt;""),IF(F54&gt;=G54,"Sim","Não"),"")</f>
        <v/>
      </c>
    </row>
    <row r="55">
      <c r="I55">
        <f>IF(AND(F55&lt;&gt;"",G55&lt;&gt;""),IF(F55&gt;=G55,"Sim","Não"),"")</f>
        <v/>
      </c>
    </row>
    <row r="56">
      <c r="I56">
        <f>IF(AND(F56&lt;&gt;"",G56&lt;&gt;""),IF(F56&gt;=G56,"Sim","Não"),"")</f>
        <v/>
      </c>
    </row>
    <row r="57">
      <c r="I57">
        <f>IF(AND(F57&lt;&gt;"",G57&lt;&gt;""),IF(F57&gt;=G57,"Sim","Não"),"")</f>
        <v/>
      </c>
    </row>
    <row r="58">
      <c r="I58">
        <f>IF(AND(F58&lt;&gt;"",G58&lt;&gt;""),IF(F58&gt;=G58,"Sim","Não"),"")</f>
        <v/>
      </c>
    </row>
    <row r="59">
      <c r="I59">
        <f>IF(AND(F59&lt;&gt;"",G59&lt;&gt;""),IF(F59&gt;=G59,"Sim","Não"),"")</f>
        <v/>
      </c>
    </row>
    <row r="60">
      <c r="I60">
        <f>IF(AND(F60&lt;&gt;"",G60&lt;&gt;""),IF(F60&gt;=G60,"Sim","Não"),"")</f>
        <v/>
      </c>
    </row>
    <row r="61">
      <c r="I61">
        <f>IF(AND(F61&lt;&gt;"",G61&lt;&gt;""),IF(F61&gt;=G61,"Sim","Não"),"")</f>
        <v/>
      </c>
    </row>
    <row r="62">
      <c r="I62">
        <f>IF(AND(F62&lt;&gt;"",G62&lt;&gt;""),IF(F62&gt;=G62,"Sim","Não"),"")</f>
        <v/>
      </c>
    </row>
    <row r="63">
      <c r="I63">
        <f>IF(AND(F63&lt;&gt;"",G63&lt;&gt;""),IF(F63&gt;=G63,"Sim","Não"),"")</f>
        <v/>
      </c>
    </row>
    <row r="64">
      <c r="I64">
        <f>IF(AND(F64&lt;&gt;"",G64&lt;&gt;""),IF(F64&gt;=G64,"Sim","Não"),"")</f>
        <v/>
      </c>
    </row>
    <row r="65">
      <c r="I65">
        <f>IF(AND(F65&lt;&gt;"",G65&lt;&gt;""),IF(F65&gt;=G65,"Sim","Não"),"")</f>
        <v/>
      </c>
    </row>
    <row r="66">
      <c r="I66">
        <f>IF(AND(F66&lt;&gt;"",G66&lt;&gt;""),IF(F66&gt;=G66,"Sim","Não"),"")</f>
        <v/>
      </c>
    </row>
    <row r="67">
      <c r="I67">
        <f>IF(AND(F67&lt;&gt;"",G67&lt;&gt;""),IF(F67&gt;=G67,"Sim","Não"),"")</f>
        <v/>
      </c>
    </row>
    <row r="68">
      <c r="I68">
        <f>IF(AND(F68&lt;&gt;"",G68&lt;&gt;""),IF(F68&gt;=G68,"Sim","Não"),"")</f>
        <v/>
      </c>
    </row>
    <row r="69">
      <c r="I69">
        <f>IF(AND(F69&lt;&gt;"",G69&lt;&gt;""),IF(F69&gt;=G69,"Sim","Não"),"")</f>
        <v/>
      </c>
    </row>
    <row r="70">
      <c r="I70">
        <f>IF(AND(F70&lt;&gt;"",G70&lt;&gt;""),IF(F70&gt;=G70,"Sim","Não"),"")</f>
        <v/>
      </c>
    </row>
    <row r="71">
      <c r="I71">
        <f>IF(AND(F71&lt;&gt;"",G71&lt;&gt;""),IF(F71&gt;=G71,"Sim","Não"),"")</f>
        <v/>
      </c>
    </row>
    <row r="72">
      <c r="I72">
        <f>IF(AND(F72&lt;&gt;"",G72&lt;&gt;""),IF(F72&gt;=G72,"Sim","Não"),"")</f>
        <v/>
      </c>
    </row>
    <row r="73">
      <c r="I73">
        <f>IF(AND(F73&lt;&gt;"",G73&lt;&gt;""),IF(F73&gt;=G73,"Sim","Não"),"")</f>
        <v/>
      </c>
    </row>
    <row r="74">
      <c r="I74">
        <f>IF(AND(F74&lt;&gt;"",G74&lt;&gt;""),IF(F74&gt;=G74,"Sim","Não"),"")</f>
        <v/>
      </c>
    </row>
    <row r="75">
      <c r="I75">
        <f>IF(AND(F75&lt;&gt;"",G75&lt;&gt;""),IF(F75&gt;=G75,"Sim","Não"),"")</f>
        <v/>
      </c>
    </row>
    <row r="76">
      <c r="I76">
        <f>IF(AND(F76&lt;&gt;"",G76&lt;&gt;""),IF(F76&gt;=G76,"Sim","Não"),"")</f>
        <v/>
      </c>
    </row>
    <row r="77">
      <c r="I77">
        <f>IF(AND(F77&lt;&gt;"",G77&lt;&gt;""),IF(F77&gt;=G77,"Sim","Não"),"")</f>
        <v/>
      </c>
    </row>
    <row r="78">
      <c r="I78">
        <f>IF(AND(F78&lt;&gt;"",G78&lt;&gt;""),IF(F78&gt;=G78,"Sim","Não"),"")</f>
        <v/>
      </c>
    </row>
    <row r="79">
      <c r="I79">
        <f>IF(AND(F79&lt;&gt;"",G79&lt;&gt;""),IF(F79&gt;=G79,"Sim","Não"),"")</f>
        <v/>
      </c>
    </row>
    <row r="80">
      <c r="I80">
        <f>IF(AND(F80&lt;&gt;"",G80&lt;&gt;""),IF(F80&gt;=G80,"Sim","Não"),"")</f>
        <v/>
      </c>
    </row>
    <row r="81">
      <c r="I81">
        <f>IF(AND(F81&lt;&gt;"",G81&lt;&gt;""),IF(F81&gt;=G81,"Sim","Não"),"")</f>
        <v/>
      </c>
    </row>
    <row r="82">
      <c r="I82">
        <f>IF(AND(F82&lt;&gt;"",G82&lt;&gt;""),IF(F82&gt;=G82,"Sim","Não"),"")</f>
        <v/>
      </c>
    </row>
    <row r="83">
      <c r="I83">
        <f>IF(AND(F83&lt;&gt;"",G83&lt;&gt;""),IF(F83&gt;=G83,"Sim","Não"),"")</f>
        <v/>
      </c>
    </row>
    <row r="84">
      <c r="I84">
        <f>IF(AND(F84&lt;&gt;"",G84&lt;&gt;""),IF(F84&gt;=G84,"Sim","Não"),"")</f>
        <v/>
      </c>
    </row>
    <row r="85">
      <c r="I85">
        <f>IF(AND(F85&lt;&gt;"",G85&lt;&gt;""),IF(F85&gt;=G85,"Sim","Não"),"")</f>
        <v/>
      </c>
    </row>
    <row r="86">
      <c r="I86">
        <f>IF(AND(F86&lt;&gt;"",G86&lt;&gt;""),IF(F86&gt;=G86,"Sim","Não"),"")</f>
        <v/>
      </c>
    </row>
    <row r="87">
      <c r="I87">
        <f>IF(AND(F87&lt;&gt;"",G87&lt;&gt;""),IF(F87&gt;=G87,"Sim","Não"),"")</f>
        <v/>
      </c>
    </row>
    <row r="88">
      <c r="I88">
        <f>IF(AND(F88&lt;&gt;"",G88&lt;&gt;""),IF(F88&gt;=G88,"Sim","Não"),"")</f>
        <v/>
      </c>
    </row>
    <row r="89">
      <c r="I89">
        <f>IF(AND(F89&lt;&gt;"",G89&lt;&gt;""),IF(F89&gt;=G89,"Sim","Não"),"")</f>
        <v/>
      </c>
    </row>
    <row r="90">
      <c r="I90">
        <f>IF(AND(F90&lt;&gt;"",G90&lt;&gt;""),IF(F90&gt;=G90,"Sim","Não"),"")</f>
        <v/>
      </c>
    </row>
    <row r="91">
      <c r="I91">
        <f>IF(AND(F91&lt;&gt;"",G91&lt;&gt;""),IF(F91&gt;=G91,"Sim","Não"),"")</f>
        <v/>
      </c>
    </row>
    <row r="92">
      <c r="I92">
        <f>IF(AND(F92&lt;&gt;"",G92&lt;&gt;""),IF(F92&gt;=G92,"Sim","Não"),"")</f>
        <v/>
      </c>
    </row>
    <row r="93">
      <c r="I93">
        <f>IF(AND(F93&lt;&gt;"",G93&lt;&gt;""),IF(F93&gt;=G93,"Sim","Não"),"")</f>
        <v/>
      </c>
    </row>
    <row r="94">
      <c r="I94">
        <f>IF(AND(F94&lt;&gt;"",G94&lt;&gt;""),IF(F94&gt;=G94,"Sim","Não"),"")</f>
        <v/>
      </c>
    </row>
    <row r="95">
      <c r="I95">
        <f>IF(AND(F95&lt;&gt;"",G95&lt;&gt;""),IF(F95&gt;=G95,"Sim","Não"),"")</f>
        <v/>
      </c>
    </row>
    <row r="96">
      <c r="I96">
        <f>IF(AND(F96&lt;&gt;"",G96&lt;&gt;""),IF(F96&gt;=G96,"Sim","Não"),"")</f>
        <v/>
      </c>
    </row>
    <row r="97">
      <c r="I97">
        <f>IF(AND(F97&lt;&gt;"",G97&lt;&gt;""),IF(F97&gt;=G97,"Sim","Não"),"")</f>
        <v/>
      </c>
    </row>
    <row r="98">
      <c r="I98">
        <f>IF(AND(F98&lt;&gt;"",G98&lt;&gt;""),IF(F98&gt;=G98,"Sim","Não"),"")</f>
        <v/>
      </c>
    </row>
    <row r="99">
      <c r="I99">
        <f>IF(AND(F99&lt;&gt;"",G99&lt;&gt;""),IF(F99&gt;=G99,"Sim","Não"),"")</f>
        <v/>
      </c>
    </row>
    <row r="100">
      <c r="I100">
        <f>IF(AND(F100&lt;&gt;"",G100&lt;&gt;""),IF(F100&gt;=G100,"Sim","Não"),"")</f>
        <v/>
      </c>
    </row>
    <row r="101">
      <c r="I101">
        <f>IF(AND(F101&lt;&gt;"",G101&lt;&gt;""),IF(F101&gt;=G101,"Sim","Não"),"")</f>
        <v/>
      </c>
    </row>
    <row r="102">
      <c r="I102">
        <f>IF(AND(F102&lt;&gt;"",G102&lt;&gt;""),IF(F102&gt;=G102,"Sim","Não"),"")</f>
        <v/>
      </c>
    </row>
    <row r="103">
      <c r="I103">
        <f>IF(AND(F103&lt;&gt;"",G103&lt;&gt;""),IF(F103&gt;=G103,"Sim","Não"),"")</f>
        <v/>
      </c>
    </row>
    <row r="104">
      <c r="I104">
        <f>IF(AND(F104&lt;&gt;"",G104&lt;&gt;""),IF(F104&gt;=G104,"Sim","Não"),"")</f>
        <v/>
      </c>
    </row>
    <row r="105">
      <c r="I105">
        <f>IF(AND(F105&lt;&gt;"",G105&lt;&gt;""),IF(F105&gt;=G105,"Sim","Não"),"")</f>
        <v/>
      </c>
    </row>
    <row r="106">
      <c r="I106">
        <f>IF(AND(F106&lt;&gt;"",G106&lt;&gt;""),IF(F106&gt;=G106,"Sim","Não"),"")</f>
        <v/>
      </c>
    </row>
    <row r="107">
      <c r="I107">
        <f>IF(AND(F107&lt;&gt;"",G107&lt;&gt;""),IF(F107&gt;=G107,"Sim","Não"),"")</f>
        <v/>
      </c>
    </row>
    <row r="108">
      <c r="I108">
        <f>IF(AND(F108&lt;&gt;"",G108&lt;&gt;""),IF(F108&gt;=G108,"Sim","Não"),"")</f>
        <v/>
      </c>
    </row>
    <row r="109">
      <c r="I109">
        <f>IF(AND(F109&lt;&gt;"",G109&lt;&gt;""),IF(F109&gt;=G109,"Sim","Não"),"")</f>
        <v/>
      </c>
    </row>
    <row r="110">
      <c r="I110">
        <f>IF(AND(F110&lt;&gt;"",G110&lt;&gt;""),IF(F110&gt;=G110,"Sim","Não"),"")</f>
        <v/>
      </c>
    </row>
    <row r="111">
      <c r="I111">
        <f>IF(AND(F111&lt;&gt;"",G111&lt;&gt;""),IF(F111&gt;=G111,"Sim","Não"),"")</f>
        <v/>
      </c>
    </row>
    <row r="112">
      <c r="I112">
        <f>IF(AND(F112&lt;&gt;"",G112&lt;&gt;""),IF(F112&gt;=G112,"Sim","Não"),"")</f>
        <v/>
      </c>
    </row>
    <row r="113">
      <c r="I113">
        <f>IF(AND(F113&lt;&gt;"",G113&lt;&gt;""),IF(F113&gt;=G113,"Sim","Não"),"")</f>
        <v/>
      </c>
    </row>
    <row r="114">
      <c r="I114">
        <f>IF(AND(F114&lt;&gt;"",G114&lt;&gt;""),IF(F114&gt;=G114,"Sim","Não"),"")</f>
        <v/>
      </c>
    </row>
    <row r="115">
      <c r="I115">
        <f>IF(AND(F115&lt;&gt;"",G115&lt;&gt;""),IF(F115&gt;=G115,"Sim","Não"),"")</f>
        <v/>
      </c>
    </row>
    <row r="116">
      <c r="I116">
        <f>IF(AND(F116&lt;&gt;"",G116&lt;&gt;""),IF(F116&gt;=G116,"Sim","Não"),"")</f>
        <v/>
      </c>
    </row>
    <row r="117">
      <c r="I117">
        <f>IF(AND(F117&lt;&gt;"",G117&lt;&gt;""),IF(F117&gt;=G117,"Sim","Não"),"")</f>
        <v/>
      </c>
    </row>
    <row r="118">
      <c r="I118">
        <f>IF(AND(F118&lt;&gt;"",G118&lt;&gt;""),IF(F118&gt;=G118,"Sim","Não"),"")</f>
        <v/>
      </c>
    </row>
    <row r="119">
      <c r="I119">
        <f>IF(AND(F119&lt;&gt;"",G119&lt;&gt;""),IF(F119&gt;=G119,"Sim","Não"),"")</f>
        <v/>
      </c>
    </row>
    <row r="120">
      <c r="I120">
        <f>IF(AND(F120&lt;&gt;"",G120&lt;&gt;""),IF(F120&gt;=G120,"Sim","Não"),"")</f>
        <v/>
      </c>
    </row>
    <row r="121">
      <c r="I121">
        <f>IF(AND(F121&lt;&gt;"",G121&lt;&gt;""),IF(F121&gt;=G121,"Sim","Não"),"")</f>
        <v/>
      </c>
    </row>
    <row r="122">
      <c r="I122">
        <f>IF(AND(F122&lt;&gt;"",G122&lt;&gt;""),IF(F122&gt;=G122,"Sim","Não"),"")</f>
        <v/>
      </c>
    </row>
    <row r="123">
      <c r="I123">
        <f>IF(AND(F123&lt;&gt;"",G123&lt;&gt;""),IF(F123&gt;=G123,"Sim","Não"),"")</f>
        <v/>
      </c>
    </row>
    <row r="124">
      <c r="I124">
        <f>IF(AND(F124&lt;&gt;"",G124&lt;&gt;""),IF(F124&gt;=G124,"Sim","Não"),"")</f>
        <v/>
      </c>
    </row>
    <row r="125">
      <c r="I125">
        <f>IF(AND(F125&lt;&gt;"",G125&lt;&gt;""),IF(F125&gt;=G125,"Sim","Não"),"")</f>
        <v/>
      </c>
    </row>
    <row r="126">
      <c r="I126">
        <f>IF(AND(F126&lt;&gt;"",G126&lt;&gt;""),IF(F126&gt;=G126,"Sim","Não"),"")</f>
        <v/>
      </c>
    </row>
    <row r="127">
      <c r="I127">
        <f>IF(AND(F127&lt;&gt;"",G127&lt;&gt;""),IF(F127&gt;=G127,"Sim","Não"),"")</f>
        <v/>
      </c>
    </row>
    <row r="128">
      <c r="I128">
        <f>IF(AND(F128&lt;&gt;"",G128&lt;&gt;""),IF(F128&gt;=G128,"Sim","Não"),"")</f>
        <v/>
      </c>
    </row>
    <row r="129">
      <c r="I129">
        <f>IF(AND(F129&lt;&gt;"",G129&lt;&gt;""),IF(F129&gt;=G129,"Sim","Não"),"")</f>
        <v/>
      </c>
    </row>
    <row r="130">
      <c r="I130">
        <f>IF(AND(F130&lt;&gt;"",G130&lt;&gt;""),IF(F130&gt;=G130,"Sim","Não"),"")</f>
        <v/>
      </c>
    </row>
    <row r="131">
      <c r="I131">
        <f>IF(AND(F131&lt;&gt;"",G131&lt;&gt;""),IF(F131&gt;=G131,"Sim","Não"),"")</f>
        <v/>
      </c>
    </row>
    <row r="132">
      <c r="I132">
        <f>IF(AND(F132&lt;&gt;"",G132&lt;&gt;""),IF(F132&gt;=G132,"Sim","Não"),"")</f>
        <v/>
      </c>
    </row>
    <row r="133">
      <c r="I133">
        <f>IF(AND(F133&lt;&gt;"",G133&lt;&gt;""),IF(F133&gt;=G133,"Sim","Não"),"")</f>
        <v/>
      </c>
    </row>
    <row r="134">
      <c r="I134">
        <f>IF(AND(F134&lt;&gt;"",G134&lt;&gt;""),IF(F134&gt;=G134,"Sim","Não"),"")</f>
        <v/>
      </c>
    </row>
    <row r="135">
      <c r="I135">
        <f>IF(AND(F135&lt;&gt;"",G135&lt;&gt;""),IF(F135&gt;=G135,"Sim","Não"),"")</f>
        <v/>
      </c>
    </row>
    <row r="136">
      <c r="I136">
        <f>IF(AND(F136&lt;&gt;"",G136&lt;&gt;""),IF(F136&gt;=G136,"Sim","Não"),"")</f>
        <v/>
      </c>
    </row>
    <row r="137">
      <c r="I137">
        <f>IF(AND(F137&lt;&gt;"",G137&lt;&gt;""),IF(F137&gt;=G137,"Sim","Não"),"")</f>
        <v/>
      </c>
    </row>
    <row r="138">
      <c r="I138">
        <f>IF(AND(F138&lt;&gt;"",G138&lt;&gt;""),IF(F138&gt;=G138,"Sim","Não"),"")</f>
        <v/>
      </c>
    </row>
    <row r="139">
      <c r="I139">
        <f>IF(AND(F139&lt;&gt;"",G139&lt;&gt;""),IF(F139&gt;=G139,"Sim","Não"),"")</f>
        <v/>
      </c>
    </row>
    <row r="140">
      <c r="I140">
        <f>IF(AND(F140&lt;&gt;"",G140&lt;&gt;""),IF(F140&gt;=G140,"Sim","Não"),"")</f>
        <v/>
      </c>
    </row>
    <row r="141">
      <c r="I141">
        <f>IF(AND(F141&lt;&gt;"",G141&lt;&gt;""),IF(F141&gt;=G141,"Sim","Não"),"")</f>
        <v/>
      </c>
    </row>
    <row r="142">
      <c r="I142">
        <f>IF(AND(F142&lt;&gt;"",G142&lt;&gt;""),IF(F142&gt;=G142,"Sim","Não"),"")</f>
        <v/>
      </c>
    </row>
    <row r="143">
      <c r="I143">
        <f>IF(AND(F143&lt;&gt;"",G143&lt;&gt;""),IF(F143&gt;=G143,"Sim","Não"),"")</f>
        <v/>
      </c>
    </row>
    <row r="144">
      <c r="I144">
        <f>IF(AND(F144&lt;&gt;"",G144&lt;&gt;""),IF(F144&gt;=G144,"Sim","Não"),"")</f>
        <v/>
      </c>
    </row>
    <row r="145">
      <c r="I145">
        <f>IF(AND(F145&lt;&gt;"",G145&lt;&gt;""),IF(F145&gt;=G145,"Sim","Não"),"")</f>
        <v/>
      </c>
    </row>
    <row r="146">
      <c r="I146">
        <f>IF(AND(F146&lt;&gt;"",G146&lt;&gt;""),IF(F146&gt;=G146,"Sim","Não"),"")</f>
        <v/>
      </c>
    </row>
    <row r="147">
      <c r="I147">
        <f>IF(AND(F147&lt;&gt;"",G147&lt;&gt;""),IF(F147&gt;=G147,"Sim","Não"),"")</f>
        <v/>
      </c>
    </row>
    <row r="148">
      <c r="I148">
        <f>IF(AND(F148&lt;&gt;"",G148&lt;&gt;""),IF(F148&gt;=G148,"Sim","Não"),"")</f>
        <v/>
      </c>
    </row>
    <row r="149">
      <c r="I149">
        <f>IF(AND(F149&lt;&gt;"",G149&lt;&gt;""),IF(F149&gt;=G149,"Sim","Não"),"")</f>
        <v/>
      </c>
    </row>
    <row r="150">
      <c r="I150">
        <f>IF(AND(F150&lt;&gt;"",G150&lt;&gt;""),IF(F150&gt;=G150,"Sim","Não"),"")</f>
        <v/>
      </c>
    </row>
    <row r="151">
      <c r="I151">
        <f>IF(AND(F151&lt;&gt;"",G151&lt;&gt;""),IF(F151&gt;=G151,"Sim","Não"),"")</f>
        <v/>
      </c>
    </row>
    <row r="152">
      <c r="I152">
        <f>IF(AND(F152&lt;&gt;"",G152&lt;&gt;""),IF(F152&gt;=G152,"Sim","Não"),"")</f>
        <v/>
      </c>
    </row>
    <row r="153">
      <c r="I153">
        <f>IF(AND(F153&lt;&gt;"",G153&lt;&gt;""),IF(F153&gt;=G153,"Sim","Não"),"")</f>
        <v/>
      </c>
    </row>
    <row r="154">
      <c r="I154">
        <f>IF(AND(F154&lt;&gt;"",G154&lt;&gt;""),IF(F154&gt;=G154,"Sim","Não"),"")</f>
        <v/>
      </c>
    </row>
    <row r="155">
      <c r="I155">
        <f>IF(AND(F155&lt;&gt;"",G155&lt;&gt;""),IF(F155&gt;=G155,"Sim","Não"),"")</f>
        <v/>
      </c>
    </row>
    <row r="156">
      <c r="I156">
        <f>IF(AND(F156&lt;&gt;"",G156&lt;&gt;""),IF(F156&gt;=G156,"Sim","Não"),"")</f>
        <v/>
      </c>
    </row>
    <row r="157">
      <c r="I157">
        <f>IF(AND(F157&lt;&gt;"",G157&lt;&gt;""),IF(F157&gt;=G157,"Sim","Não"),"")</f>
        <v/>
      </c>
    </row>
    <row r="158">
      <c r="I158">
        <f>IF(AND(F158&lt;&gt;"",G158&lt;&gt;""),IF(F158&gt;=G158,"Sim","Não"),"")</f>
        <v/>
      </c>
    </row>
    <row r="159">
      <c r="I159">
        <f>IF(AND(F159&lt;&gt;"",G159&lt;&gt;""),IF(F159&gt;=G159,"Sim","Não"),"")</f>
        <v/>
      </c>
    </row>
    <row r="160">
      <c r="I160">
        <f>IF(AND(F160&lt;&gt;"",G160&lt;&gt;""),IF(F160&gt;=G160,"Sim","Não"),"")</f>
        <v/>
      </c>
    </row>
    <row r="161">
      <c r="I161">
        <f>IF(AND(F161&lt;&gt;"",G161&lt;&gt;""),IF(F161&gt;=G161,"Sim","Não"),"")</f>
        <v/>
      </c>
    </row>
    <row r="162">
      <c r="I162">
        <f>IF(AND(F162&lt;&gt;"",G162&lt;&gt;""),IF(F162&gt;=G162,"Sim","Não"),"")</f>
        <v/>
      </c>
    </row>
    <row r="163">
      <c r="I163">
        <f>IF(AND(F163&lt;&gt;"",G163&lt;&gt;""),IF(F163&gt;=G163,"Sim","Não"),"")</f>
        <v/>
      </c>
    </row>
    <row r="164">
      <c r="I164">
        <f>IF(AND(F164&lt;&gt;"",G164&lt;&gt;""),IF(F164&gt;=G164,"Sim","Não"),"")</f>
        <v/>
      </c>
    </row>
    <row r="165">
      <c r="I165">
        <f>IF(AND(F165&lt;&gt;"",G165&lt;&gt;""),IF(F165&gt;=G165,"Sim","Não"),"")</f>
        <v/>
      </c>
    </row>
    <row r="166">
      <c r="I166">
        <f>IF(AND(F166&lt;&gt;"",G166&lt;&gt;""),IF(F166&gt;=G166,"Sim","Não"),"")</f>
        <v/>
      </c>
    </row>
    <row r="167">
      <c r="I167">
        <f>IF(AND(F167&lt;&gt;"",G167&lt;&gt;""),IF(F167&gt;=G167,"Sim","Não"),"")</f>
        <v/>
      </c>
    </row>
    <row r="168">
      <c r="I168">
        <f>IF(AND(F168&lt;&gt;"",G168&lt;&gt;""),IF(F168&gt;=G168,"Sim","Não"),"")</f>
        <v/>
      </c>
    </row>
    <row r="169">
      <c r="I169">
        <f>IF(AND(F169&lt;&gt;"",G169&lt;&gt;""),IF(F169&gt;=G169,"Sim","Não"),"")</f>
        <v/>
      </c>
    </row>
    <row r="170">
      <c r="I170">
        <f>IF(AND(F170&lt;&gt;"",G170&lt;&gt;""),IF(F170&gt;=G170,"Sim","Não"),"")</f>
        <v/>
      </c>
    </row>
    <row r="171">
      <c r="I171">
        <f>IF(AND(F171&lt;&gt;"",G171&lt;&gt;""),IF(F171&gt;=G171,"Sim","Não"),"")</f>
        <v/>
      </c>
    </row>
    <row r="172">
      <c r="I172">
        <f>IF(AND(F172&lt;&gt;"",G172&lt;&gt;""),IF(F172&gt;=G172,"Sim","Não"),"")</f>
        <v/>
      </c>
    </row>
    <row r="173">
      <c r="I173">
        <f>IF(AND(F173&lt;&gt;"",G173&lt;&gt;""),IF(F173&gt;=G173,"Sim","Não"),"")</f>
        <v/>
      </c>
    </row>
    <row r="174">
      <c r="I174">
        <f>IF(AND(F174&lt;&gt;"",G174&lt;&gt;""),IF(F174&gt;=G174,"Sim","Não"),"")</f>
        <v/>
      </c>
    </row>
    <row r="175">
      <c r="I175">
        <f>IF(AND(F175&lt;&gt;"",G175&lt;&gt;""),IF(F175&gt;=G175,"Sim","Não"),"")</f>
        <v/>
      </c>
    </row>
    <row r="176">
      <c r="I176">
        <f>IF(AND(F176&lt;&gt;"",G176&lt;&gt;""),IF(F176&gt;=G176,"Sim","Não"),"")</f>
        <v/>
      </c>
    </row>
    <row r="177">
      <c r="I177">
        <f>IF(AND(F177&lt;&gt;"",G177&lt;&gt;""),IF(F177&gt;=G177,"Sim","Não"),"")</f>
        <v/>
      </c>
    </row>
    <row r="178">
      <c r="I178">
        <f>IF(AND(F178&lt;&gt;"",G178&lt;&gt;""),IF(F178&gt;=G178,"Sim","Não"),"")</f>
        <v/>
      </c>
    </row>
    <row r="179">
      <c r="I179">
        <f>IF(AND(F179&lt;&gt;"",G179&lt;&gt;""),IF(F179&gt;=G179,"Sim","Não"),"")</f>
        <v/>
      </c>
    </row>
    <row r="180">
      <c r="I180">
        <f>IF(AND(F180&lt;&gt;"",G180&lt;&gt;""),IF(F180&gt;=G180,"Sim","Não"),"")</f>
        <v/>
      </c>
    </row>
    <row r="181">
      <c r="I181">
        <f>IF(AND(F181&lt;&gt;"",G181&lt;&gt;""),IF(F181&gt;=G181,"Sim","Não"),"")</f>
        <v/>
      </c>
    </row>
    <row r="182">
      <c r="I182">
        <f>IF(AND(F182&lt;&gt;"",G182&lt;&gt;""),IF(F182&gt;=G182,"Sim","Não"),"")</f>
        <v/>
      </c>
    </row>
    <row r="183">
      <c r="I183">
        <f>IF(AND(F183&lt;&gt;"",G183&lt;&gt;""),IF(F183&gt;=G183,"Sim","Não"),"")</f>
        <v/>
      </c>
    </row>
    <row r="184">
      <c r="I184">
        <f>IF(AND(F184&lt;&gt;"",G184&lt;&gt;""),IF(F184&gt;=G184,"Sim","Não"),"")</f>
        <v/>
      </c>
    </row>
    <row r="185">
      <c r="I185">
        <f>IF(AND(F185&lt;&gt;"",G185&lt;&gt;""),IF(F185&gt;=G185,"Sim","Não"),"")</f>
        <v/>
      </c>
    </row>
    <row r="186">
      <c r="I186">
        <f>IF(AND(F186&lt;&gt;"",G186&lt;&gt;""),IF(F186&gt;=G186,"Sim","Não"),"")</f>
        <v/>
      </c>
    </row>
    <row r="187">
      <c r="I187">
        <f>IF(AND(F187&lt;&gt;"",G187&lt;&gt;""),IF(F187&gt;=G187,"Sim","Não"),"")</f>
        <v/>
      </c>
    </row>
    <row r="188">
      <c r="I188">
        <f>IF(AND(F188&lt;&gt;"",G188&lt;&gt;""),IF(F188&gt;=G188,"Sim","Não"),"")</f>
        <v/>
      </c>
    </row>
    <row r="189">
      <c r="I189">
        <f>IF(AND(F189&lt;&gt;"",G189&lt;&gt;""),IF(F189&gt;=G189,"Sim","Não"),"")</f>
        <v/>
      </c>
    </row>
    <row r="190">
      <c r="I190">
        <f>IF(AND(F190&lt;&gt;"",G190&lt;&gt;""),IF(F190&gt;=G190,"Sim","Não"),"")</f>
        <v/>
      </c>
    </row>
    <row r="191">
      <c r="I191">
        <f>IF(AND(F191&lt;&gt;"",G191&lt;&gt;""),IF(F191&gt;=G191,"Sim","Não"),"")</f>
        <v/>
      </c>
    </row>
    <row r="192">
      <c r="I192">
        <f>IF(AND(F192&lt;&gt;"",G192&lt;&gt;""),IF(F192&gt;=G192,"Sim","Não"),"")</f>
        <v/>
      </c>
    </row>
    <row r="193">
      <c r="I193">
        <f>IF(AND(F193&lt;&gt;"",G193&lt;&gt;""),IF(F193&gt;=G193,"Sim","Não"),"")</f>
        <v/>
      </c>
    </row>
    <row r="194">
      <c r="I194">
        <f>IF(AND(F194&lt;&gt;"",G194&lt;&gt;""),IF(F194&gt;=G194,"Sim","Não"),"")</f>
        <v/>
      </c>
    </row>
    <row r="195">
      <c r="I195">
        <f>IF(AND(F195&lt;&gt;"",G195&lt;&gt;""),IF(F195&gt;=G195,"Sim","Não"),"")</f>
        <v/>
      </c>
    </row>
    <row r="196">
      <c r="I196">
        <f>IF(AND(F196&lt;&gt;"",G196&lt;&gt;""),IF(F196&gt;=G196,"Sim","Não"),"")</f>
        <v/>
      </c>
    </row>
    <row r="197">
      <c r="I197">
        <f>IF(AND(F197&lt;&gt;"",G197&lt;&gt;""),IF(F197&gt;=G197,"Sim","Não"),"")</f>
        <v/>
      </c>
    </row>
    <row r="198">
      <c r="I198">
        <f>IF(AND(F198&lt;&gt;"",G198&lt;&gt;""),IF(F198&gt;=G198,"Sim","Não"),"")</f>
        <v/>
      </c>
    </row>
    <row r="199">
      <c r="I199">
        <f>IF(AND(F199&lt;&gt;"",G199&lt;&gt;""),IF(F199&gt;=G199,"Sim","Não"),"")</f>
        <v/>
      </c>
    </row>
    <row r="200">
      <c r="I200">
        <f>IF(AND(F200&lt;&gt;"",G200&lt;&gt;""),IF(F200&gt;=G200,"Sim","Não"),"")</f>
        <v/>
      </c>
    </row>
    <row r="201">
      <c r="I201">
        <f>IF(AND(F201&lt;&gt;"",G201&lt;&gt;""),IF(F201&gt;=G201,"Sim","Não"),"")</f>
        <v/>
      </c>
    </row>
    <row r="202">
      <c r="I202">
        <f>IF(AND(F202&lt;&gt;"",G202&lt;&gt;""),IF(F202&gt;=G202,"Sim","Não"),"")</f>
        <v/>
      </c>
    </row>
    <row r="203">
      <c r="I203">
        <f>IF(AND(F203&lt;&gt;"",G203&lt;&gt;""),IF(F203&gt;=G203,"Sim","Não"),"")</f>
        <v/>
      </c>
    </row>
    <row r="204">
      <c r="I204">
        <f>IF(AND(F204&lt;&gt;"",G204&lt;&gt;""),IF(F204&gt;=G204,"Sim","Não"),"")</f>
        <v/>
      </c>
    </row>
    <row r="205">
      <c r="I205">
        <f>IF(AND(F205&lt;&gt;"",G205&lt;&gt;""),IF(F205&gt;=G205,"Sim","Não"),"")</f>
        <v/>
      </c>
    </row>
    <row r="206">
      <c r="I206">
        <f>IF(AND(F206&lt;&gt;"",G206&lt;&gt;""),IF(F206&gt;=G206,"Sim","Não"),"")</f>
        <v/>
      </c>
    </row>
    <row r="207">
      <c r="I207">
        <f>IF(AND(F207&lt;&gt;"",G207&lt;&gt;""),IF(F207&gt;=G207,"Sim","Não"),"")</f>
        <v/>
      </c>
    </row>
    <row r="208">
      <c r="I208">
        <f>IF(AND(F208&lt;&gt;"",G208&lt;&gt;""),IF(F208&gt;=G208,"Sim","Não"),"")</f>
        <v/>
      </c>
    </row>
    <row r="209">
      <c r="I209">
        <f>IF(AND(F209&lt;&gt;"",G209&lt;&gt;""),IF(F209&gt;=G209,"Sim","Não"),"")</f>
        <v/>
      </c>
    </row>
    <row r="210">
      <c r="I210">
        <f>IF(AND(F210&lt;&gt;"",G210&lt;&gt;""),IF(F210&gt;=G210,"Sim","Não"),"")</f>
        <v/>
      </c>
    </row>
    <row r="211">
      <c r="I211">
        <f>IF(AND(F211&lt;&gt;"",G211&lt;&gt;""),IF(F211&gt;=G211,"Sim","Não"),"")</f>
        <v/>
      </c>
    </row>
    <row r="212">
      <c r="I212">
        <f>IF(AND(F212&lt;&gt;"",G212&lt;&gt;""),IF(F212&gt;=G212,"Sim","Não"),"")</f>
        <v/>
      </c>
    </row>
    <row r="213">
      <c r="I213">
        <f>IF(AND(F213&lt;&gt;"",G213&lt;&gt;""),IF(F213&gt;=G213,"Sim","Não"),"")</f>
        <v/>
      </c>
    </row>
    <row r="214">
      <c r="I214">
        <f>IF(AND(F214&lt;&gt;"",G214&lt;&gt;""),IF(F214&gt;=G214,"Sim","Não"),"")</f>
        <v/>
      </c>
    </row>
    <row r="215">
      <c r="I215">
        <f>IF(AND(F215&lt;&gt;"",G215&lt;&gt;""),IF(F215&gt;=G215,"Sim","Não"),"")</f>
        <v/>
      </c>
    </row>
    <row r="216">
      <c r="I216">
        <f>IF(AND(F216&lt;&gt;"",G216&lt;&gt;""),IF(F216&gt;=G216,"Sim","Não"),"")</f>
        <v/>
      </c>
    </row>
    <row r="217">
      <c r="I217">
        <f>IF(AND(F217&lt;&gt;"",G217&lt;&gt;""),IF(F217&gt;=G217,"Sim","Não"),"")</f>
        <v/>
      </c>
    </row>
    <row r="218">
      <c r="I218">
        <f>IF(AND(F218&lt;&gt;"",G218&lt;&gt;""),IF(F218&gt;=G218,"Sim","Não"),"")</f>
        <v/>
      </c>
    </row>
    <row r="219">
      <c r="I219">
        <f>IF(AND(F219&lt;&gt;"",G219&lt;&gt;""),IF(F219&gt;=G219,"Sim","Não"),"")</f>
        <v/>
      </c>
    </row>
    <row r="220">
      <c r="I220">
        <f>IF(AND(F220&lt;&gt;"",G220&lt;&gt;""),IF(F220&gt;=G220,"Sim","Não"),"")</f>
        <v/>
      </c>
    </row>
    <row r="221">
      <c r="I221">
        <f>IF(AND(F221&lt;&gt;"",G221&lt;&gt;""),IF(F221&gt;=G221,"Sim","Não"),"")</f>
        <v/>
      </c>
    </row>
    <row r="222">
      <c r="I222">
        <f>IF(AND(F222&lt;&gt;"",G222&lt;&gt;""),IF(F222&gt;=G222,"Sim","Não"),"")</f>
        <v/>
      </c>
    </row>
    <row r="223">
      <c r="I223">
        <f>IF(AND(F223&lt;&gt;"",G223&lt;&gt;""),IF(F223&gt;=G223,"Sim","Não"),"")</f>
        <v/>
      </c>
    </row>
    <row r="224">
      <c r="I224">
        <f>IF(AND(F224&lt;&gt;"",G224&lt;&gt;""),IF(F224&gt;=G224,"Sim","Não"),"")</f>
        <v/>
      </c>
    </row>
    <row r="225">
      <c r="I225">
        <f>IF(AND(F225&lt;&gt;"",G225&lt;&gt;""),IF(F225&gt;=G225,"Sim","Não"),"")</f>
        <v/>
      </c>
    </row>
    <row r="226">
      <c r="I226">
        <f>IF(AND(F226&lt;&gt;"",G226&lt;&gt;""),IF(F226&gt;=G226,"Sim","Não"),"")</f>
        <v/>
      </c>
    </row>
    <row r="227">
      <c r="I227">
        <f>IF(AND(F227&lt;&gt;"",G227&lt;&gt;""),IF(F227&gt;=G227,"Sim","Não"),"")</f>
        <v/>
      </c>
    </row>
    <row r="228">
      <c r="I228">
        <f>IF(AND(F228&lt;&gt;"",G228&lt;&gt;""),IF(F228&gt;=G228,"Sim","Não"),"")</f>
        <v/>
      </c>
    </row>
    <row r="229">
      <c r="I229">
        <f>IF(AND(F229&lt;&gt;"",G229&lt;&gt;""),IF(F229&gt;=G229,"Sim","Não"),"")</f>
        <v/>
      </c>
    </row>
    <row r="230">
      <c r="I230">
        <f>IF(AND(F230&lt;&gt;"",G230&lt;&gt;""),IF(F230&gt;=G230,"Sim","Não"),"")</f>
        <v/>
      </c>
    </row>
    <row r="231">
      <c r="I231">
        <f>IF(AND(F231&lt;&gt;"",G231&lt;&gt;""),IF(F231&gt;=G231,"Sim","Não"),"")</f>
        <v/>
      </c>
    </row>
    <row r="232">
      <c r="I232">
        <f>IF(AND(F232&lt;&gt;"",G232&lt;&gt;""),IF(F232&gt;=G232,"Sim","Não"),"")</f>
        <v/>
      </c>
    </row>
    <row r="233">
      <c r="I233">
        <f>IF(AND(F233&lt;&gt;"",G233&lt;&gt;""),IF(F233&gt;=G233,"Sim","Não"),"")</f>
        <v/>
      </c>
    </row>
    <row r="234">
      <c r="I234">
        <f>IF(AND(F234&lt;&gt;"",G234&lt;&gt;""),IF(F234&gt;=G234,"Sim","Não"),"")</f>
        <v/>
      </c>
    </row>
    <row r="235">
      <c r="I235">
        <f>IF(AND(F235&lt;&gt;"",G235&lt;&gt;""),IF(F235&gt;=G235,"Sim","Não"),"")</f>
        <v/>
      </c>
    </row>
    <row r="236">
      <c r="I236">
        <f>IF(AND(F236&lt;&gt;"",G236&lt;&gt;""),IF(F236&gt;=G236,"Sim","Não"),"")</f>
        <v/>
      </c>
    </row>
    <row r="237">
      <c r="I237">
        <f>IF(AND(F237&lt;&gt;"",G237&lt;&gt;""),IF(F237&gt;=G237,"Sim","Não"),"")</f>
        <v/>
      </c>
    </row>
    <row r="238">
      <c r="I238">
        <f>IF(AND(F238&lt;&gt;"",G238&lt;&gt;""),IF(F238&gt;=G238,"Sim","Não"),"")</f>
        <v/>
      </c>
    </row>
    <row r="239">
      <c r="I239">
        <f>IF(AND(F239&lt;&gt;"",G239&lt;&gt;""),IF(F239&gt;=G239,"Sim","Não"),"")</f>
        <v/>
      </c>
    </row>
    <row r="240">
      <c r="I240">
        <f>IF(AND(F240&lt;&gt;"",G240&lt;&gt;""),IF(F240&gt;=G240,"Sim","Não"),"")</f>
        <v/>
      </c>
    </row>
    <row r="241">
      <c r="I241">
        <f>IF(AND(F241&lt;&gt;"",G241&lt;&gt;""),IF(F241&gt;=G241,"Sim","Não"),"")</f>
        <v/>
      </c>
    </row>
    <row r="242">
      <c r="I242">
        <f>IF(AND(F242&lt;&gt;"",G242&lt;&gt;""),IF(F242&gt;=G242,"Sim","Não"),"")</f>
        <v/>
      </c>
    </row>
    <row r="243">
      <c r="I243">
        <f>IF(AND(F243&lt;&gt;"",G243&lt;&gt;""),IF(F243&gt;=G243,"Sim","Não"),"")</f>
        <v/>
      </c>
    </row>
    <row r="244">
      <c r="I244">
        <f>IF(AND(F244&lt;&gt;"",G244&lt;&gt;""),IF(F244&gt;=G244,"Sim","Não"),"")</f>
        <v/>
      </c>
    </row>
    <row r="245">
      <c r="I245">
        <f>IF(AND(F245&lt;&gt;"",G245&lt;&gt;""),IF(F245&gt;=G245,"Sim","Não"),"")</f>
        <v/>
      </c>
    </row>
    <row r="246">
      <c r="I246">
        <f>IF(AND(F246&lt;&gt;"",G246&lt;&gt;""),IF(F246&gt;=G246,"Sim","Não"),"")</f>
        <v/>
      </c>
    </row>
    <row r="247">
      <c r="I247">
        <f>IF(AND(F247&lt;&gt;"",G247&lt;&gt;""),IF(F247&gt;=G247,"Sim","Não"),"")</f>
        <v/>
      </c>
    </row>
    <row r="248">
      <c r="I248">
        <f>IF(AND(F248&lt;&gt;"",G248&lt;&gt;""),IF(F248&gt;=G248,"Sim","Não"),"")</f>
        <v/>
      </c>
    </row>
    <row r="249">
      <c r="I249">
        <f>IF(AND(F249&lt;&gt;"",G249&lt;&gt;""),IF(F249&gt;=G249,"Sim","Não"),"")</f>
        <v/>
      </c>
    </row>
    <row r="250">
      <c r="I250">
        <f>IF(AND(F250&lt;&gt;"",G250&lt;&gt;""),IF(F250&gt;=G250,"Sim","Não"),"")</f>
        <v/>
      </c>
    </row>
    <row r="251">
      <c r="I251">
        <f>IF(AND(F251&lt;&gt;"",G251&lt;&gt;""),IF(F251&gt;=G251,"Sim","Não"),"")</f>
        <v/>
      </c>
    </row>
    <row r="252">
      <c r="I252">
        <f>IF(AND(F252&lt;&gt;"",G252&lt;&gt;""),IF(F252&gt;=G252,"Sim","Não"),"")</f>
        <v/>
      </c>
    </row>
    <row r="253">
      <c r="I253">
        <f>IF(AND(F253&lt;&gt;"",G253&lt;&gt;""),IF(F253&gt;=G253,"Sim","Não"),"")</f>
        <v/>
      </c>
    </row>
    <row r="254">
      <c r="I254">
        <f>IF(AND(F254&lt;&gt;"",G254&lt;&gt;""),IF(F254&gt;=G254,"Sim","Não"),"")</f>
        <v/>
      </c>
    </row>
    <row r="255">
      <c r="I255">
        <f>IF(AND(F255&lt;&gt;"",G255&lt;&gt;""),IF(F255&gt;=G255,"Sim","Não"),"")</f>
        <v/>
      </c>
    </row>
    <row r="256">
      <c r="I256">
        <f>IF(AND(F256&lt;&gt;"",G256&lt;&gt;""),IF(F256&gt;=G256,"Sim","Não"),"")</f>
        <v/>
      </c>
    </row>
    <row r="257">
      <c r="I257">
        <f>IF(AND(F257&lt;&gt;"",G257&lt;&gt;""),IF(F257&gt;=G257,"Sim","Não"),"")</f>
        <v/>
      </c>
    </row>
    <row r="258">
      <c r="I258">
        <f>IF(AND(F258&lt;&gt;"",G258&lt;&gt;""),IF(F258&gt;=G258,"Sim","Não"),"")</f>
        <v/>
      </c>
    </row>
    <row r="259">
      <c r="I259">
        <f>IF(AND(F259&lt;&gt;"",G259&lt;&gt;""),IF(F259&gt;=G259,"Sim","Não"),"")</f>
        <v/>
      </c>
    </row>
    <row r="260">
      <c r="I260">
        <f>IF(AND(F260&lt;&gt;"",G260&lt;&gt;""),IF(F260&gt;=G260,"Sim","Não"),"")</f>
        <v/>
      </c>
    </row>
    <row r="261">
      <c r="I261">
        <f>IF(AND(F261&lt;&gt;"",G261&lt;&gt;""),IF(F261&gt;=G261,"Sim","Não"),"")</f>
        <v/>
      </c>
    </row>
    <row r="262">
      <c r="I262">
        <f>IF(AND(F262&lt;&gt;"",G262&lt;&gt;""),IF(F262&gt;=G262,"Sim","Não"),"")</f>
        <v/>
      </c>
    </row>
    <row r="263">
      <c r="I263">
        <f>IF(AND(F263&lt;&gt;"",G263&lt;&gt;""),IF(F263&gt;=G263,"Sim","Não"),"")</f>
        <v/>
      </c>
    </row>
    <row r="264">
      <c r="I264">
        <f>IF(AND(F264&lt;&gt;"",G264&lt;&gt;""),IF(F264&gt;=G264,"Sim","Não"),"")</f>
        <v/>
      </c>
    </row>
    <row r="265">
      <c r="I265">
        <f>IF(AND(F265&lt;&gt;"",G265&lt;&gt;""),IF(F265&gt;=G265,"Sim","Não"),"")</f>
        <v/>
      </c>
    </row>
    <row r="266">
      <c r="I266">
        <f>IF(AND(F266&lt;&gt;"",G266&lt;&gt;""),IF(F266&gt;=G266,"Sim","Não"),"")</f>
        <v/>
      </c>
    </row>
    <row r="267">
      <c r="I267">
        <f>IF(AND(F267&lt;&gt;"",G267&lt;&gt;""),IF(F267&gt;=G267,"Sim","Não"),"")</f>
        <v/>
      </c>
    </row>
    <row r="268">
      <c r="I268">
        <f>IF(AND(F268&lt;&gt;"",G268&lt;&gt;""),IF(F268&gt;=G268,"Sim","Não"),"")</f>
        <v/>
      </c>
    </row>
    <row r="269">
      <c r="I269">
        <f>IF(AND(F269&lt;&gt;"",G269&lt;&gt;""),IF(F269&gt;=G269,"Sim","Não"),"")</f>
        <v/>
      </c>
    </row>
    <row r="270">
      <c r="I270">
        <f>IF(AND(F270&lt;&gt;"",G270&lt;&gt;""),IF(F270&gt;=G270,"Sim","Não"),"")</f>
        <v/>
      </c>
    </row>
    <row r="271">
      <c r="I271">
        <f>IF(AND(F271&lt;&gt;"",G271&lt;&gt;""),IF(F271&gt;=G271,"Sim","Não"),"")</f>
        <v/>
      </c>
    </row>
    <row r="272">
      <c r="I272">
        <f>IF(AND(F272&lt;&gt;"",G272&lt;&gt;""),IF(F272&gt;=G272,"Sim","Não"),"")</f>
        <v/>
      </c>
    </row>
    <row r="273">
      <c r="I273">
        <f>IF(AND(F273&lt;&gt;"",G273&lt;&gt;""),IF(F273&gt;=G273,"Sim","Não"),"")</f>
        <v/>
      </c>
    </row>
    <row r="274">
      <c r="I274">
        <f>IF(AND(F274&lt;&gt;"",G274&lt;&gt;""),IF(F274&gt;=G274,"Sim","Não"),"")</f>
        <v/>
      </c>
    </row>
    <row r="275">
      <c r="I275">
        <f>IF(AND(F275&lt;&gt;"",G275&lt;&gt;""),IF(F275&gt;=G275,"Sim","Não"),"")</f>
        <v/>
      </c>
    </row>
    <row r="276">
      <c r="I276">
        <f>IF(AND(F276&lt;&gt;"",G276&lt;&gt;""),IF(F276&gt;=G276,"Sim","Não"),"")</f>
        <v/>
      </c>
    </row>
    <row r="277">
      <c r="I277">
        <f>IF(AND(F277&lt;&gt;"",G277&lt;&gt;""),IF(F277&gt;=G277,"Sim","Não"),"")</f>
        <v/>
      </c>
    </row>
    <row r="278">
      <c r="I278">
        <f>IF(AND(F278&lt;&gt;"",G278&lt;&gt;""),IF(F278&gt;=G278,"Sim","Não"),"")</f>
        <v/>
      </c>
    </row>
    <row r="279">
      <c r="I279">
        <f>IF(AND(F279&lt;&gt;"",G279&lt;&gt;""),IF(F279&gt;=G279,"Sim","Não"),"")</f>
        <v/>
      </c>
    </row>
    <row r="280">
      <c r="I280">
        <f>IF(AND(F280&lt;&gt;"",G280&lt;&gt;""),IF(F280&gt;=G280,"Sim","Não"),"")</f>
        <v/>
      </c>
    </row>
    <row r="281">
      <c r="I281">
        <f>IF(AND(F281&lt;&gt;"",G281&lt;&gt;""),IF(F281&gt;=G281,"Sim","Não"),"")</f>
        <v/>
      </c>
    </row>
    <row r="282">
      <c r="I282">
        <f>IF(AND(F282&lt;&gt;"",G282&lt;&gt;""),IF(F282&gt;=G282,"Sim","Não"),"")</f>
        <v/>
      </c>
    </row>
    <row r="283">
      <c r="I283">
        <f>IF(AND(F283&lt;&gt;"",G283&lt;&gt;""),IF(F283&gt;=G283,"Sim","Não"),"")</f>
        <v/>
      </c>
    </row>
    <row r="284">
      <c r="I284">
        <f>IF(AND(F284&lt;&gt;"",G284&lt;&gt;""),IF(F284&gt;=G284,"Sim","Não"),"")</f>
        <v/>
      </c>
    </row>
    <row r="285">
      <c r="I285">
        <f>IF(AND(F285&lt;&gt;"",G285&lt;&gt;""),IF(F285&gt;=G285,"Sim","Não"),"")</f>
        <v/>
      </c>
    </row>
    <row r="286">
      <c r="I286">
        <f>IF(AND(F286&lt;&gt;"",G286&lt;&gt;""),IF(F286&gt;=G286,"Sim","Não"),"")</f>
        <v/>
      </c>
    </row>
    <row r="287">
      <c r="I287">
        <f>IF(AND(F287&lt;&gt;"",G287&lt;&gt;""),IF(F287&gt;=G287,"Sim","Não"),"")</f>
        <v/>
      </c>
    </row>
    <row r="288">
      <c r="I288">
        <f>IF(AND(F288&lt;&gt;"",G288&lt;&gt;""),IF(F288&gt;=G288,"Sim","Não"),"")</f>
        <v/>
      </c>
    </row>
    <row r="289">
      <c r="I289">
        <f>IF(AND(F289&lt;&gt;"",G289&lt;&gt;""),IF(F289&gt;=G289,"Sim","Não"),"")</f>
        <v/>
      </c>
    </row>
    <row r="290">
      <c r="I290">
        <f>IF(AND(F290&lt;&gt;"",G290&lt;&gt;""),IF(F290&gt;=G290,"Sim","Não"),"")</f>
        <v/>
      </c>
    </row>
    <row r="291">
      <c r="I291">
        <f>IF(AND(F291&lt;&gt;"",G291&lt;&gt;""),IF(F291&gt;=G291,"Sim","Não"),"")</f>
        <v/>
      </c>
    </row>
    <row r="292">
      <c r="I292">
        <f>IF(AND(F292&lt;&gt;"",G292&lt;&gt;""),IF(F292&gt;=G292,"Sim","Não"),"")</f>
        <v/>
      </c>
    </row>
    <row r="293">
      <c r="I293">
        <f>IF(AND(F293&lt;&gt;"",G293&lt;&gt;""),IF(F293&gt;=G293,"Sim","Não"),"")</f>
        <v/>
      </c>
    </row>
    <row r="294">
      <c r="I294">
        <f>IF(AND(F294&lt;&gt;"",G294&lt;&gt;""),IF(F294&gt;=G294,"Sim","Não"),"")</f>
        <v/>
      </c>
    </row>
    <row r="295">
      <c r="I295">
        <f>IF(AND(F295&lt;&gt;"",G295&lt;&gt;""),IF(F295&gt;=G295,"Sim","Não"),"")</f>
        <v/>
      </c>
    </row>
    <row r="296">
      <c r="I296">
        <f>IF(AND(F296&lt;&gt;"",G296&lt;&gt;""),IF(F296&gt;=G296,"Sim","Não"),"")</f>
        <v/>
      </c>
    </row>
    <row r="297">
      <c r="I297">
        <f>IF(AND(F297&lt;&gt;"",G297&lt;&gt;""),IF(F297&gt;=G297,"Sim","Não"),"")</f>
        <v/>
      </c>
    </row>
    <row r="298">
      <c r="I298">
        <f>IF(AND(F298&lt;&gt;"",G298&lt;&gt;""),IF(F298&gt;=G298,"Sim","Não"),"")</f>
        <v/>
      </c>
    </row>
    <row r="299">
      <c r="I299">
        <f>IF(AND(F299&lt;&gt;"",G299&lt;&gt;""),IF(F299&gt;=G299,"Sim","Não"),"")</f>
        <v/>
      </c>
    </row>
    <row r="300">
      <c r="I300">
        <f>IF(AND(F300&lt;&gt;"",G300&lt;&gt;""),IF(F300&gt;=G300,"Sim","Não"),"")</f>
        <v/>
      </c>
    </row>
    <row r="301">
      <c r="I301">
        <f>IF(AND(F301&lt;&gt;"",G301&lt;&gt;""),IF(F301&gt;=G301,"Sim","Não"),"")</f>
        <v/>
      </c>
    </row>
    <row r="302">
      <c r="I302">
        <f>IF(AND(F302&lt;&gt;"",G302&lt;&gt;""),IF(F302&gt;=G302,"Sim","Não"),"")</f>
        <v/>
      </c>
    </row>
    <row r="303">
      <c r="I303">
        <f>IF(AND(F303&lt;&gt;"",G303&lt;&gt;""),IF(F303&gt;=G303,"Sim","Não"),"")</f>
        <v/>
      </c>
    </row>
    <row r="304">
      <c r="I304">
        <f>IF(AND(F304&lt;&gt;"",G304&lt;&gt;""),IF(F304&gt;=G304,"Sim","Não"),"")</f>
        <v/>
      </c>
    </row>
    <row r="305">
      <c r="I305">
        <f>IF(AND(F305&lt;&gt;"",G305&lt;&gt;""),IF(F305&gt;=G305,"Sim","Não"),"")</f>
        <v/>
      </c>
    </row>
    <row r="306">
      <c r="I306">
        <f>IF(AND(F306&lt;&gt;"",G306&lt;&gt;""),IF(F306&gt;=G306,"Sim","Não"),"")</f>
        <v/>
      </c>
    </row>
    <row r="307">
      <c r="I307">
        <f>IF(AND(F307&lt;&gt;"",G307&lt;&gt;""),IF(F307&gt;=G307,"Sim","Não"),"")</f>
        <v/>
      </c>
    </row>
    <row r="308">
      <c r="I308">
        <f>IF(AND(F308&lt;&gt;"",G308&lt;&gt;""),IF(F308&gt;=G308,"Sim","Não"),"")</f>
        <v/>
      </c>
    </row>
    <row r="309">
      <c r="I309">
        <f>IF(AND(F309&lt;&gt;"",G309&lt;&gt;""),IF(F309&gt;=G309,"Sim","Não"),"")</f>
        <v/>
      </c>
    </row>
    <row r="310">
      <c r="I310">
        <f>IF(AND(F310&lt;&gt;"",G310&lt;&gt;""),IF(F310&gt;=G310,"Sim","Não"),"")</f>
        <v/>
      </c>
    </row>
    <row r="311">
      <c r="I311">
        <f>IF(AND(F311&lt;&gt;"",G311&lt;&gt;""),IF(F311&gt;=G311,"Sim","Não"),"")</f>
        <v/>
      </c>
    </row>
    <row r="312">
      <c r="I312">
        <f>IF(AND(F312&lt;&gt;"",G312&lt;&gt;""),IF(F312&gt;=G312,"Sim","Não"),"")</f>
        <v/>
      </c>
    </row>
    <row r="313">
      <c r="I313">
        <f>IF(AND(F313&lt;&gt;"",G313&lt;&gt;""),IF(F313&gt;=G313,"Sim","Não"),"")</f>
        <v/>
      </c>
    </row>
    <row r="314">
      <c r="I314">
        <f>IF(AND(F314&lt;&gt;"",G314&lt;&gt;""),IF(F314&gt;=G314,"Sim","Não"),"")</f>
        <v/>
      </c>
    </row>
    <row r="315">
      <c r="I315">
        <f>IF(AND(F315&lt;&gt;"",G315&lt;&gt;""),IF(F315&gt;=G315,"Sim","Não"),"")</f>
        <v/>
      </c>
    </row>
    <row r="316">
      <c r="I316">
        <f>IF(AND(F316&lt;&gt;"",G316&lt;&gt;""),IF(F316&gt;=G316,"Sim","Não"),"")</f>
        <v/>
      </c>
    </row>
    <row r="317">
      <c r="I317">
        <f>IF(AND(F317&lt;&gt;"",G317&lt;&gt;""),IF(F317&gt;=G317,"Sim","Não"),"")</f>
        <v/>
      </c>
    </row>
    <row r="318">
      <c r="I318">
        <f>IF(AND(F318&lt;&gt;"",G318&lt;&gt;""),IF(F318&gt;=G318,"Sim","Não"),"")</f>
        <v/>
      </c>
    </row>
    <row r="319">
      <c r="I319">
        <f>IF(AND(F319&lt;&gt;"",G319&lt;&gt;""),IF(F319&gt;=G319,"Sim","Não"),"")</f>
        <v/>
      </c>
    </row>
    <row r="320">
      <c r="I320">
        <f>IF(AND(F320&lt;&gt;"",G320&lt;&gt;""),IF(F320&gt;=G320,"Sim","Não"),"")</f>
        <v/>
      </c>
    </row>
    <row r="321">
      <c r="I321">
        <f>IF(AND(F321&lt;&gt;"",G321&lt;&gt;""),IF(F321&gt;=G321,"Sim","Não"),"")</f>
        <v/>
      </c>
    </row>
    <row r="322">
      <c r="I322">
        <f>IF(AND(F322&lt;&gt;"",G322&lt;&gt;""),IF(F322&gt;=G322,"Sim","Não"),"")</f>
        <v/>
      </c>
    </row>
    <row r="323">
      <c r="I323">
        <f>IF(AND(F323&lt;&gt;"",G323&lt;&gt;""),IF(F323&gt;=G323,"Sim","Não"),"")</f>
        <v/>
      </c>
    </row>
    <row r="324">
      <c r="I324">
        <f>IF(AND(F324&lt;&gt;"",G324&lt;&gt;""),IF(F324&gt;=G324,"Sim","Não"),"")</f>
        <v/>
      </c>
    </row>
    <row r="325">
      <c r="I325">
        <f>IF(AND(F325&lt;&gt;"",G325&lt;&gt;""),IF(F325&gt;=G325,"Sim","Não"),"")</f>
        <v/>
      </c>
    </row>
    <row r="326">
      <c r="I326">
        <f>IF(AND(F326&lt;&gt;"",G326&lt;&gt;""),IF(F326&gt;=G326,"Sim","Não"),"")</f>
        <v/>
      </c>
    </row>
    <row r="327">
      <c r="I327">
        <f>IF(AND(F327&lt;&gt;"",G327&lt;&gt;""),IF(F327&gt;=G327,"Sim","Não"),"")</f>
        <v/>
      </c>
    </row>
    <row r="328">
      <c r="I328">
        <f>IF(AND(F328&lt;&gt;"",G328&lt;&gt;""),IF(F328&gt;=G328,"Sim","Não"),"")</f>
        <v/>
      </c>
    </row>
    <row r="329">
      <c r="I329">
        <f>IF(AND(F329&lt;&gt;"",G329&lt;&gt;""),IF(F329&gt;=G329,"Sim","Não"),"")</f>
        <v/>
      </c>
    </row>
    <row r="330">
      <c r="I330">
        <f>IF(AND(F330&lt;&gt;"",G330&lt;&gt;""),IF(F330&gt;=G330,"Sim","Não"),"")</f>
        <v/>
      </c>
    </row>
    <row r="331">
      <c r="I331">
        <f>IF(AND(F331&lt;&gt;"",G331&lt;&gt;""),IF(F331&gt;=G331,"Sim","Não"),"")</f>
        <v/>
      </c>
    </row>
    <row r="332">
      <c r="I332">
        <f>IF(AND(F332&lt;&gt;"",G332&lt;&gt;""),IF(F332&gt;=G332,"Sim","Não"),"")</f>
        <v/>
      </c>
    </row>
    <row r="333">
      <c r="I333">
        <f>IF(AND(F333&lt;&gt;"",G333&lt;&gt;""),IF(F333&gt;=G333,"Sim","Não"),"")</f>
        <v/>
      </c>
    </row>
    <row r="334">
      <c r="I334">
        <f>IF(AND(F334&lt;&gt;"",G334&lt;&gt;""),IF(F334&gt;=G334,"Sim","Não"),"")</f>
        <v/>
      </c>
    </row>
    <row r="335">
      <c r="I335">
        <f>IF(AND(F335&lt;&gt;"",G335&lt;&gt;""),IF(F335&gt;=G335,"Sim","Não"),"")</f>
        <v/>
      </c>
    </row>
    <row r="336">
      <c r="I336">
        <f>IF(AND(F336&lt;&gt;"",G336&lt;&gt;""),IF(F336&gt;=G336,"Sim","Não"),"")</f>
        <v/>
      </c>
    </row>
    <row r="337">
      <c r="I337">
        <f>IF(AND(F337&lt;&gt;"",G337&lt;&gt;""),IF(F337&gt;=G337,"Sim","Não"),"")</f>
        <v/>
      </c>
    </row>
    <row r="338">
      <c r="I338">
        <f>IF(AND(F338&lt;&gt;"",G338&lt;&gt;""),IF(F338&gt;=G338,"Sim","Não"),"")</f>
        <v/>
      </c>
    </row>
    <row r="339">
      <c r="I339">
        <f>IF(AND(F339&lt;&gt;"",G339&lt;&gt;""),IF(F339&gt;=G339,"Sim","Não"),"")</f>
        <v/>
      </c>
    </row>
    <row r="340">
      <c r="I340">
        <f>IF(AND(F340&lt;&gt;"",G340&lt;&gt;""),IF(F340&gt;=G340,"Sim","Não"),"")</f>
        <v/>
      </c>
    </row>
    <row r="341">
      <c r="I341">
        <f>IF(AND(F341&lt;&gt;"",G341&lt;&gt;""),IF(F341&gt;=G341,"Sim","Não"),"")</f>
        <v/>
      </c>
    </row>
    <row r="342">
      <c r="I342">
        <f>IF(AND(F342&lt;&gt;"",G342&lt;&gt;""),IF(F342&gt;=G342,"Sim","Não"),"")</f>
        <v/>
      </c>
    </row>
    <row r="343">
      <c r="I343">
        <f>IF(AND(F343&lt;&gt;"",G343&lt;&gt;""),IF(F343&gt;=G343,"Sim","Não"),"")</f>
        <v/>
      </c>
    </row>
    <row r="344">
      <c r="I344">
        <f>IF(AND(F344&lt;&gt;"",G344&lt;&gt;""),IF(F344&gt;=G344,"Sim","Não"),"")</f>
        <v/>
      </c>
    </row>
    <row r="345">
      <c r="I345">
        <f>IF(AND(F345&lt;&gt;"",G345&lt;&gt;""),IF(F345&gt;=G345,"Sim","Não"),"")</f>
        <v/>
      </c>
    </row>
    <row r="346">
      <c r="I346">
        <f>IF(AND(F346&lt;&gt;"",G346&lt;&gt;""),IF(F346&gt;=G346,"Sim","Não"),"")</f>
        <v/>
      </c>
    </row>
    <row r="347">
      <c r="I347">
        <f>IF(AND(F347&lt;&gt;"",G347&lt;&gt;""),IF(F347&gt;=G347,"Sim","Não"),"")</f>
        <v/>
      </c>
    </row>
    <row r="348">
      <c r="I348">
        <f>IF(AND(F348&lt;&gt;"",G348&lt;&gt;""),IF(F348&gt;=G348,"Sim","Não"),"")</f>
        <v/>
      </c>
    </row>
    <row r="349">
      <c r="I349">
        <f>IF(AND(F349&lt;&gt;"",G349&lt;&gt;""),IF(F349&gt;=G349,"Sim","Não"),"")</f>
        <v/>
      </c>
    </row>
    <row r="350">
      <c r="I350">
        <f>IF(AND(F350&lt;&gt;"",G350&lt;&gt;""),IF(F350&gt;=G350,"Sim","Não"),"")</f>
        <v/>
      </c>
    </row>
    <row r="351">
      <c r="I351">
        <f>IF(AND(F351&lt;&gt;"",G351&lt;&gt;""),IF(F351&gt;=G351,"Sim","Não"),"")</f>
        <v/>
      </c>
    </row>
    <row r="352">
      <c r="I352">
        <f>IF(AND(F352&lt;&gt;"",G352&lt;&gt;""),IF(F352&gt;=G352,"Sim","Não"),"")</f>
        <v/>
      </c>
    </row>
    <row r="353">
      <c r="I353">
        <f>IF(AND(F353&lt;&gt;"",G353&lt;&gt;""),IF(F353&gt;=G353,"Sim","Não"),"")</f>
        <v/>
      </c>
    </row>
    <row r="354">
      <c r="I354">
        <f>IF(AND(F354&lt;&gt;"",G354&lt;&gt;""),IF(F354&gt;=G354,"Sim","Não"),"")</f>
        <v/>
      </c>
    </row>
    <row r="355">
      <c r="I355">
        <f>IF(AND(F355&lt;&gt;"",G355&lt;&gt;""),IF(F355&gt;=G355,"Sim","Não"),"")</f>
        <v/>
      </c>
    </row>
    <row r="356">
      <c r="I356">
        <f>IF(AND(F356&lt;&gt;"",G356&lt;&gt;""),IF(F356&gt;=G356,"Sim","Não"),"")</f>
        <v/>
      </c>
    </row>
    <row r="357">
      <c r="I357">
        <f>IF(AND(F357&lt;&gt;"",G357&lt;&gt;""),IF(F357&gt;=G357,"Sim","Não"),"")</f>
        <v/>
      </c>
    </row>
    <row r="358">
      <c r="I358">
        <f>IF(AND(F358&lt;&gt;"",G358&lt;&gt;""),IF(F358&gt;=G358,"Sim","Não"),"")</f>
        <v/>
      </c>
    </row>
    <row r="359">
      <c r="I359">
        <f>IF(AND(F359&lt;&gt;"",G359&lt;&gt;""),IF(F359&gt;=G359,"Sim","Não"),"")</f>
        <v/>
      </c>
    </row>
    <row r="360">
      <c r="I360">
        <f>IF(AND(F360&lt;&gt;"",G360&lt;&gt;""),IF(F360&gt;=G360,"Sim","Não"),"")</f>
        <v/>
      </c>
    </row>
    <row r="361">
      <c r="I361">
        <f>IF(AND(F361&lt;&gt;"",G361&lt;&gt;""),IF(F361&gt;=G361,"Sim","Não"),"")</f>
        <v/>
      </c>
    </row>
    <row r="362">
      <c r="I362">
        <f>IF(AND(F362&lt;&gt;"",G362&lt;&gt;""),IF(F362&gt;=G362,"Sim","Não"),"")</f>
        <v/>
      </c>
    </row>
    <row r="363">
      <c r="I363">
        <f>IF(AND(F363&lt;&gt;"",G363&lt;&gt;""),IF(F363&gt;=G363,"Sim","Não"),"")</f>
        <v/>
      </c>
    </row>
    <row r="364">
      <c r="I364">
        <f>IF(AND(F364&lt;&gt;"",G364&lt;&gt;""),IF(F364&gt;=G364,"Sim","Não"),"")</f>
        <v/>
      </c>
    </row>
    <row r="365">
      <c r="I365">
        <f>IF(AND(F365&lt;&gt;"",G365&lt;&gt;""),IF(F365&gt;=G365,"Sim","Não"),"")</f>
        <v/>
      </c>
    </row>
    <row r="366">
      <c r="I366">
        <f>IF(AND(F366&lt;&gt;"",G366&lt;&gt;""),IF(F366&gt;=G366,"Sim","Não"),"")</f>
        <v/>
      </c>
    </row>
    <row r="367">
      <c r="I367">
        <f>IF(AND(F367&lt;&gt;"",G367&lt;&gt;""),IF(F367&gt;=G367,"Sim","Não"),"")</f>
        <v/>
      </c>
    </row>
    <row r="368">
      <c r="I368">
        <f>IF(AND(F368&lt;&gt;"",G368&lt;&gt;""),IF(F368&gt;=G368,"Sim","Não"),"")</f>
        <v/>
      </c>
    </row>
    <row r="369">
      <c r="I369">
        <f>IF(AND(F369&lt;&gt;"",G369&lt;&gt;""),IF(F369&gt;=G369,"Sim","Não"),"")</f>
        <v/>
      </c>
    </row>
    <row r="370">
      <c r="I370">
        <f>IF(AND(F370&lt;&gt;"",G370&lt;&gt;""),IF(F370&gt;=G370,"Sim","Não"),"")</f>
        <v/>
      </c>
    </row>
    <row r="371">
      <c r="I371">
        <f>IF(AND(F371&lt;&gt;"",G371&lt;&gt;""),IF(F371&gt;=G371,"Sim","Não"),"")</f>
        <v/>
      </c>
    </row>
    <row r="372">
      <c r="I372">
        <f>IF(AND(F372&lt;&gt;"",G372&lt;&gt;""),IF(F372&gt;=G372,"Sim","Não"),"")</f>
        <v/>
      </c>
    </row>
    <row r="373">
      <c r="I373">
        <f>IF(AND(F373&lt;&gt;"",G373&lt;&gt;""),IF(F373&gt;=G373,"Sim","Não"),"")</f>
        <v/>
      </c>
    </row>
    <row r="374">
      <c r="I374">
        <f>IF(AND(F374&lt;&gt;"",G374&lt;&gt;""),IF(F374&gt;=G374,"Sim","Não"),"")</f>
        <v/>
      </c>
    </row>
    <row r="375">
      <c r="I375">
        <f>IF(AND(F375&lt;&gt;"",G375&lt;&gt;""),IF(F375&gt;=G375,"Sim","Não"),"")</f>
        <v/>
      </c>
    </row>
    <row r="376">
      <c r="I376">
        <f>IF(AND(F376&lt;&gt;"",G376&lt;&gt;""),IF(F376&gt;=G376,"Sim","Não"),"")</f>
        <v/>
      </c>
    </row>
    <row r="377">
      <c r="I377">
        <f>IF(AND(F377&lt;&gt;"",G377&lt;&gt;""),IF(F377&gt;=G377,"Sim","Não"),"")</f>
        <v/>
      </c>
    </row>
    <row r="378">
      <c r="I378">
        <f>IF(AND(F378&lt;&gt;"",G378&lt;&gt;""),IF(F378&gt;=G378,"Sim","Não"),"")</f>
        <v/>
      </c>
    </row>
    <row r="379">
      <c r="I379">
        <f>IF(AND(F379&lt;&gt;"",G379&lt;&gt;""),IF(F379&gt;=G379,"Sim","Não"),"")</f>
        <v/>
      </c>
    </row>
    <row r="380">
      <c r="I380">
        <f>IF(AND(F380&lt;&gt;"",G380&lt;&gt;""),IF(F380&gt;=G380,"Sim","Não"),"")</f>
        <v/>
      </c>
    </row>
    <row r="381">
      <c r="I381">
        <f>IF(AND(F381&lt;&gt;"",G381&lt;&gt;""),IF(F381&gt;=G381,"Sim","Não"),"")</f>
        <v/>
      </c>
    </row>
    <row r="382">
      <c r="I382">
        <f>IF(AND(F382&lt;&gt;"",G382&lt;&gt;""),IF(F382&gt;=G382,"Sim","Não"),"")</f>
        <v/>
      </c>
    </row>
    <row r="383">
      <c r="I383">
        <f>IF(AND(F383&lt;&gt;"",G383&lt;&gt;""),IF(F383&gt;=G383,"Sim","Não"),"")</f>
        <v/>
      </c>
    </row>
    <row r="384">
      <c r="I384">
        <f>IF(AND(F384&lt;&gt;"",G384&lt;&gt;""),IF(F384&gt;=G384,"Sim","Não"),"")</f>
        <v/>
      </c>
    </row>
    <row r="385">
      <c r="I385">
        <f>IF(AND(F385&lt;&gt;"",G385&lt;&gt;""),IF(F385&gt;=G385,"Sim","Não"),"")</f>
        <v/>
      </c>
    </row>
    <row r="386">
      <c r="I386">
        <f>IF(AND(F386&lt;&gt;"",G386&lt;&gt;""),IF(F386&gt;=G386,"Sim","Não"),"")</f>
        <v/>
      </c>
    </row>
    <row r="387">
      <c r="I387">
        <f>IF(AND(F387&lt;&gt;"",G387&lt;&gt;""),IF(F387&gt;=G387,"Sim","Não"),"")</f>
        <v/>
      </c>
    </row>
    <row r="388">
      <c r="I388">
        <f>IF(AND(F388&lt;&gt;"",G388&lt;&gt;""),IF(F388&gt;=G388,"Sim","Não"),"")</f>
        <v/>
      </c>
    </row>
    <row r="389">
      <c r="I389">
        <f>IF(AND(F389&lt;&gt;"",G389&lt;&gt;""),IF(F389&gt;=G389,"Sim","Não"),"")</f>
        <v/>
      </c>
    </row>
    <row r="390">
      <c r="I390">
        <f>IF(AND(F390&lt;&gt;"",G390&lt;&gt;""),IF(F390&gt;=G390,"Sim","Não"),"")</f>
        <v/>
      </c>
    </row>
    <row r="391">
      <c r="I391">
        <f>IF(AND(F391&lt;&gt;"",G391&lt;&gt;""),IF(F391&gt;=G391,"Sim","Não"),"")</f>
        <v/>
      </c>
    </row>
    <row r="392">
      <c r="I392">
        <f>IF(AND(F392&lt;&gt;"",G392&lt;&gt;""),IF(F392&gt;=G392,"Sim","Não"),"")</f>
        <v/>
      </c>
    </row>
    <row r="393">
      <c r="I393">
        <f>IF(AND(F393&lt;&gt;"",G393&lt;&gt;""),IF(F393&gt;=G393,"Sim","Não"),"")</f>
        <v/>
      </c>
    </row>
    <row r="394">
      <c r="I394">
        <f>IF(AND(F394&lt;&gt;"",G394&lt;&gt;""),IF(F394&gt;=G394,"Sim","Não"),"")</f>
        <v/>
      </c>
    </row>
    <row r="395">
      <c r="I395">
        <f>IF(AND(F395&lt;&gt;"",G395&lt;&gt;""),IF(F395&gt;=G395,"Sim","Não"),"")</f>
        <v/>
      </c>
    </row>
    <row r="396">
      <c r="I396">
        <f>IF(AND(F396&lt;&gt;"",G396&lt;&gt;""),IF(F396&gt;=G396,"Sim","Não"),"")</f>
        <v/>
      </c>
    </row>
    <row r="397">
      <c r="I397">
        <f>IF(AND(F397&lt;&gt;"",G397&lt;&gt;""),IF(F397&gt;=G397,"Sim","Não"),"")</f>
        <v/>
      </c>
    </row>
    <row r="398">
      <c r="I398">
        <f>IF(AND(F398&lt;&gt;"",G398&lt;&gt;""),IF(F398&gt;=G398,"Sim","Não"),"")</f>
        <v/>
      </c>
    </row>
    <row r="399">
      <c r="I399">
        <f>IF(AND(F399&lt;&gt;"",G399&lt;&gt;""),IF(F399&gt;=G399,"Sim","Não"),"")</f>
        <v/>
      </c>
    </row>
    <row r="400">
      <c r="I400">
        <f>IF(AND(F400&lt;&gt;"",G400&lt;&gt;""),IF(F400&gt;=G400,"Sim","Não"),"")</f>
        <v/>
      </c>
    </row>
    <row r="401">
      <c r="I401">
        <f>IF(AND(F401&lt;&gt;"",G401&lt;&gt;""),IF(F401&gt;=G401,"Sim","Não"),"")</f>
        <v/>
      </c>
    </row>
    <row r="402">
      <c r="I402">
        <f>IF(AND(F402&lt;&gt;"",G402&lt;&gt;""),IF(F402&gt;=G402,"Sim","Não"),"")</f>
        <v/>
      </c>
    </row>
    <row r="403">
      <c r="I403">
        <f>IF(AND(F403&lt;&gt;"",G403&lt;&gt;""),IF(F403&gt;=G403,"Sim","Não"),"")</f>
        <v/>
      </c>
    </row>
    <row r="404">
      <c r="I404">
        <f>IF(AND(F404&lt;&gt;"",G404&lt;&gt;""),IF(F404&gt;=G404,"Sim","Não"),"")</f>
        <v/>
      </c>
    </row>
    <row r="405">
      <c r="I405">
        <f>IF(AND(F405&lt;&gt;"",G405&lt;&gt;""),IF(F405&gt;=G405,"Sim","Não"),"")</f>
        <v/>
      </c>
    </row>
    <row r="406">
      <c r="I406">
        <f>IF(AND(F406&lt;&gt;"",G406&lt;&gt;""),IF(F406&gt;=G406,"Sim","Não"),"")</f>
        <v/>
      </c>
    </row>
    <row r="407">
      <c r="I407">
        <f>IF(AND(F407&lt;&gt;"",G407&lt;&gt;""),IF(F407&gt;=G407,"Sim","Não"),"")</f>
        <v/>
      </c>
    </row>
    <row r="408">
      <c r="I408">
        <f>IF(AND(F408&lt;&gt;"",G408&lt;&gt;""),IF(F408&gt;=G408,"Sim","Não"),"")</f>
        <v/>
      </c>
    </row>
    <row r="409">
      <c r="I409">
        <f>IF(AND(F409&lt;&gt;"",G409&lt;&gt;""),IF(F409&gt;=G409,"Sim","Não"),"")</f>
        <v/>
      </c>
    </row>
    <row r="410">
      <c r="I410">
        <f>IF(AND(F410&lt;&gt;"",G410&lt;&gt;""),IF(F410&gt;=G410,"Sim","Não"),"")</f>
        <v/>
      </c>
    </row>
    <row r="411">
      <c r="I411">
        <f>IF(AND(F411&lt;&gt;"",G411&lt;&gt;""),IF(F411&gt;=G411,"Sim","Não"),"")</f>
        <v/>
      </c>
    </row>
    <row r="412">
      <c r="I412">
        <f>IF(AND(F412&lt;&gt;"",G412&lt;&gt;""),IF(F412&gt;=G412,"Sim","Não"),"")</f>
        <v/>
      </c>
    </row>
    <row r="413">
      <c r="I413">
        <f>IF(AND(F413&lt;&gt;"",G413&lt;&gt;""),IF(F413&gt;=G413,"Sim","Não"),"")</f>
        <v/>
      </c>
    </row>
    <row r="414">
      <c r="I414">
        <f>IF(AND(F414&lt;&gt;"",G414&lt;&gt;""),IF(F414&gt;=G414,"Sim","Não"),"")</f>
        <v/>
      </c>
    </row>
    <row r="415">
      <c r="I415">
        <f>IF(AND(F415&lt;&gt;"",G415&lt;&gt;""),IF(F415&gt;=G415,"Sim","Não"),"")</f>
        <v/>
      </c>
    </row>
    <row r="416">
      <c r="I416">
        <f>IF(AND(F416&lt;&gt;"",G416&lt;&gt;""),IF(F416&gt;=G416,"Sim","Não"),"")</f>
        <v/>
      </c>
    </row>
    <row r="417">
      <c r="I417">
        <f>IF(AND(F417&lt;&gt;"",G417&lt;&gt;""),IF(F417&gt;=G417,"Sim","Não"),"")</f>
        <v/>
      </c>
    </row>
    <row r="418">
      <c r="I418">
        <f>IF(AND(F418&lt;&gt;"",G418&lt;&gt;""),IF(F418&gt;=G418,"Sim","Não"),"")</f>
        <v/>
      </c>
    </row>
    <row r="419">
      <c r="I419">
        <f>IF(AND(F419&lt;&gt;"",G419&lt;&gt;""),IF(F419&gt;=G419,"Sim","Não"),"")</f>
        <v/>
      </c>
    </row>
    <row r="420">
      <c r="I420">
        <f>IF(AND(F420&lt;&gt;"",G420&lt;&gt;""),IF(F420&gt;=G420,"Sim","Não"),"")</f>
        <v/>
      </c>
    </row>
    <row r="421">
      <c r="I421">
        <f>IF(AND(F421&lt;&gt;"",G421&lt;&gt;""),IF(F421&gt;=G421,"Sim","Não"),"")</f>
        <v/>
      </c>
    </row>
    <row r="422">
      <c r="I422">
        <f>IF(AND(F422&lt;&gt;"",G422&lt;&gt;""),IF(F422&gt;=G422,"Sim","Não"),"")</f>
        <v/>
      </c>
    </row>
    <row r="423">
      <c r="I423">
        <f>IF(AND(F423&lt;&gt;"",G423&lt;&gt;""),IF(F423&gt;=G423,"Sim","Não"),"")</f>
        <v/>
      </c>
    </row>
    <row r="424">
      <c r="I424">
        <f>IF(AND(F424&lt;&gt;"",G424&lt;&gt;""),IF(F424&gt;=G424,"Sim","Não"),"")</f>
        <v/>
      </c>
    </row>
    <row r="425">
      <c r="I425">
        <f>IF(AND(F425&lt;&gt;"",G425&lt;&gt;""),IF(F425&gt;=G425,"Sim","Não"),"")</f>
        <v/>
      </c>
    </row>
    <row r="426">
      <c r="I426">
        <f>IF(AND(F426&lt;&gt;"",G426&lt;&gt;""),IF(F426&gt;=G426,"Sim","Não"),"")</f>
        <v/>
      </c>
    </row>
    <row r="427">
      <c r="I427">
        <f>IF(AND(F427&lt;&gt;"",G427&lt;&gt;""),IF(F427&gt;=G427,"Sim","Não"),"")</f>
        <v/>
      </c>
    </row>
    <row r="428">
      <c r="I428">
        <f>IF(AND(F428&lt;&gt;"",G428&lt;&gt;""),IF(F428&gt;=G428,"Sim","Não"),"")</f>
        <v/>
      </c>
    </row>
    <row r="429">
      <c r="I429">
        <f>IF(AND(F429&lt;&gt;"",G429&lt;&gt;""),IF(F429&gt;=G429,"Sim","Não"),"")</f>
        <v/>
      </c>
    </row>
    <row r="430">
      <c r="I430">
        <f>IF(AND(F430&lt;&gt;"",G430&lt;&gt;""),IF(F430&gt;=G430,"Sim","Não"),"")</f>
        <v/>
      </c>
    </row>
    <row r="431">
      <c r="I431">
        <f>IF(AND(F431&lt;&gt;"",G431&lt;&gt;""),IF(F431&gt;=G431,"Sim","Não"),"")</f>
        <v/>
      </c>
    </row>
    <row r="432">
      <c r="I432">
        <f>IF(AND(F432&lt;&gt;"",G432&lt;&gt;""),IF(F432&gt;=G432,"Sim","Não"),"")</f>
        <v/>
      </c>
    </row>
    <row r="433">
      <c r="I433">
        <f>IF(AND(F433&lt;&gt;"",G433&lt;&gt;""),IF(F433&gt;=G433,"Sim","Não"),"")</f>
        <v/>
      </c>
    </row>
    <row r="434">
      <c r="I434">
        <f>IF(AND(F434&lt;&gt;"",G434&lt;&gt;""),IF(F434&gt;=G434,"Sim","Não"),"")</f>
        <v/>
      </c>
    </row>
    <row r="435">
      <c r="I435">
        <f>IF(AND(F435&lt;&gt;"",G435&lt;&gt;""),IF(F435&gt;=G435,"Sim","Não"),"")</f>
        <v/>
      </c>
    </row>
    <row r="436">
      <c r="I436">
        <f>IF(AND(F436&lt;&gt;"",G436&lt;&gt;""),IF(F436&gt;=G436,"Sim","Não"),"")</f>
        <v/>
      </c>
    </row>
    <row r="437">
      <c r="I437">
        <f>IF(AND(F437&lt;&gt;"",G437&lt;&gt;""),IF(F437&gt;=G437,"Sim","Não"),"")</f>
        <v/>
      </c>
    </row>
    <row r="438">
      <c r="I438">
        <f>IF(AND(F438&lt;&gt;"",G438&lt;&gt;""),IF(F438&gt;=G438,"Sim","Não"),"")</f>
        <v/>
      </c>
    </row>
    <row r="439">
      <c r="I439">
        <f>IF(AND(F439&lt;&gt;"",G439&lt;&gt;""),IF(F439&gt;=G439,"Sim","Não"),"")</f>
        <v/>
      </c>
    </row>
    <row r="440">
      <c r="I440">
        <f>IF(AND(F440&lt;&gt;"",G440&lt;&gt;""),IF(F440&gt;=G440,"Sim","Não"),"")</f>
        <v/>
      </c>
    </row>
    <row r="441">
      <c r="I441">
        <f>IF(AND(F441&lt;&gt;"",G441&lt;&gt;""),IF(F441&gt;=G441,"Sim","Não"),"")</f>
        <v/>
      </c>
    </row>
    <row r="442">
      <c r="I442">
        <f>IF(AND(F442&lt;&gt;"",G442&lt;&gt;""),IF(F442&gt;=G442,"Sim","Não"),"")</f>
        <v/>
      </c>
    </row>
    <row r="443">
      <c r="I443">
        <f>IF(AND(F443&lt;&gt;"",G443&lt;&gt;""),IF(F443&gt;=G443,"Sim","Não"),"")</f>
        <v/>
      </c>
    </row>
    <row r="444">
      <c r="I444">
        <f>IF(AND(F444&lt;&gt;"",G444&lt;&gt;""),IF(F444&gt;=G444,"Sim","Não"),"")</f>
        <v/>
      </c>
    </row>
    <row r="445">
      <c r="I445">
        <f>IF(AND(F445&lt;&gt;"",G445&lt;&gt;""),IF(F445&gt;=G445,"Sim","Não"),"")</f>
        <v/>
      </c>
    </row>
    <row r="446">
      <c r="I446">
        <f>IF(AND(F446&lt;&gt;"",G446&lt;&gt;""),IF(F446&gt;=G446,"Sim","Não"),"")</f>
        <v/>
      </c>
    </row>
    <row r="447">
      <c r="I447">
        <f>IF(AND(F447&lt;&gt;"",G447&lt;&gt;""),IF(F447&gt;=G447,"Sim","Não"),"")</f>
        <v/>
      </c>
    </row>
    <row r="448">
      <c r="I448">
        <f>IF(AND(F448&lt;&gt;"",G448&lt;&gt;""),IF(F448&gt;=G448,"Sim","Não"),"")</f>
        <v/>
      </c>
    </row>
    <row r="449">
      <c r="I449">
        <f>IF(AND(F449&lt;&gt;"",G449&lt;&gt;""),IF(F449&gt;=G449,"Sim","Não"),"")</f>
        <v/>
      </c>
    </row>
    <row r="450">
      <c r="I450">
        <f>IF(AND(F450&lt;&gt;"",G450&lt;&gt;""),IF(F450&gt;=G450,"Sim","Não"),"")</f>
        <v/>
      </c>
    </row>
    <row r="451">
      <c r="I451">
        <f>IF(AND(F451&lt;&gt;"",G451&lt;&gt;""),IF(F451&gt;=G451,"Sim","Não"),"")</f>
        <v/>
      </c>
    </row>
    <row r="452">
      <c r="I452">
        <f>IF(AND(F452&lt;&gt;"",G452&lt;&gt;""),IF(F452&gt;=G452,"Sim","Não"),"")</f>
        <v/>
      </c>
    </row>
    <row r="453">
      <c r="I453">
        <f>IF(AND(F453&lt;&gt;"",G453&lt;&gt;""),IF(F453&gt;=G453,"Sim","Não"),"")</f>
        <v/>
      </c>
    </row>
    <row r="454">
      <c r="I454">
        <f>IF(AND(F454&lt;&gt;"",G454&lt;&gt;""),IF(F454&gt;=G454,"Sim","Não"),"")</f>
        <v/>
      </c>
    </row>
    <row r="455">
      <c r="I455">
        <f>IF(AND(F455&lt;&gt;"",G455&lt;&gt;""),IF(F455&gt;=G455,"Sim","Não"),"")</f>
        <v/>
      </c>
    </row>
    <row r="456">
      <c r="I456">
        <f>IF(AND(F456&lt;&gt;"",G456&lt;&gt;""),IF(F456&gt;=G456,"Sim","Não"),"")</f>
        <v/>
      </c>
    </row>
    <row r="457">
      <c r="I457">
        <f>IF(AND(F457&lt;&gt;"",G457&lt;&gt;""),IF(F457&gt;=G457,"Sim","Não"),"")</f>
        <v/>
      </c>
    </row>
    <row r="458">
      <c r="I458">
        <f>IF(AND(F458&lt;&gt;"",G458&lt;&gt;""),IF(F458&gt;=G458,"Sim","Não"),"")</f>
        <v/>
      </c>
    </row>
    <row r="459">
      <c r="I459">
        <f>IF(AND(F459&lt;&gt;"",G459&lt;&gt;""),IF(F459&gt;=G459,"Sim","Não"),"")</f>
        <v/>
      </c>
    </row>
    <row r="460">
      <c r="I460">
        <f>IF(AND(F460&lt;&gt;"",G460&lt;&gt;""),IF(F460&gt;=G460,"Sim","Não"),"")</f>
        <v/>
      </c>
    </row>
    <row r="461">
      <c r="I461">
        <f>IF(AND(F461&lt;&gt;"",G461&lt;&gt;""),IF(F461&gt;=G461,"Sim","Não"),"")</f>
        <v/>
      </c>
    </row>
    <row r="462">
      <c r="I462">
        <f>IF(AND(F462&lt;&gt;"",G462&lt;&gt;""),IF(F462&gt;=G462,"Sim","Não"),"")</f>
        <v/>
      </c>
    </row>
    <row r="463">
      <c r="I463">
        <f>IF(AND(F463&lt;&gt;"",G463&lt;&gt;""),IF(F463&gt;=G463,"Sim","Não"),"")</f>
        <v/>
      </c>
    </row>
    <row r="464">
      <c r="I464">
        <f>IF(AND(F464&lt;&gt;"",G464&lt;&gt;""),IF(F464&gt;=G464,"Sim","Não"),"")</f>
        <v/>
      </c>
    </row>
    <row r="465">
      <c r="I465">
        <f>IF(AND(F465&lt;&gt;"",G465&lt;&gt;""),IF(F465&gt;=G465,"Sim","Não"),"")</f>
        <v/>
      </c>
    </row>
    <row r="466">
      <c r="I466">
        <f>IF(AND(F466&lt;&gt;"",G466&lt;&gt;""),IF(F466&gt;=G466,"Sim","Não"),"")</f>
        <v/>
      </c>
    </row>
    <row r="467">
      <c r="I467">
        <f>IF(AND(F467&lt;&gt;"",G467&lt;&gt;""),IF(F467&gt;=G467,"Sim","Não"),"")</f>
        <v/>
      </c>
    </row>
    <row r="468">
      <c r="I468">
        <f>IF(AND(F468&lt;&gt;"",G468&lt;&gt;""),IF(F468&gt;=G468,"Sim","Não"),"")</f>
        <v/>
      </c>
    </row>
    <row r="469">
      <c r="I469">
        <f>IF(AND(F469&lt;&gt;"",G469&lt;&gt;""),IF(F469&gt;=G469,"Sim","Não"),"")</f>
        <v/>
      </c>
    </row>
    <row r="470">
      <c r="I470">
        <f>IF(AND(F470&lt;&gt;"",G470&lt;&gt;""),IF(F470&gt;=G470,"Sim","Não"),"")</f>
        <v/>
      </c>
    </row>
    <row r="471">
      <c r="I471">
        <f>IF(AND(F471&lt;&gt;"",G471&lt;&gt;""),IF(F471&gt;=G471,"Sim","Não"),"")</f>
        <v/>
      </c>
    </row>
    <row r="472">
      <c r="I472">
        <f>IF(AND(F472&lt;&gt;"",G472&lt;&gt;""),IF(F472&gt;=G472,"Sim","Não"),"")</f>
        <v/>
      </c>
    </row>
    <row r="473">
      <c r="I473">
        <f>IF(AND(F473&lt;&gt;"",G473&lt;&gt;""),IF(F473&gt;=G473,"Sim","Não"),"")</f>
        <v/>
      </c>
    </row>
    <row r="474">
      <c r="I474">
        <f>IF(AND(F474&lt;&gt;"",G474&lt;&gt;""),IF(F474&gt;=G474,"Sim","Não"),"")</f>
        <v/>
      </c>
    </row>
    <row r="475">
      <c r="I475">
        <f>IF(AND(F475&lt;&gt;"",G475&lt;&gt;""),IF(F475&gt;=G475,"Sim","Não"),"")</f>
        <v/>
      </c>
    </row>
    <row r="476">
      <c r="I476">
        <f>IF(AND(F476&lt;&gt;"",G476&lt;&gt;""),IF(F476&gt;=G476,"Sim","Não"),"")</f>
        <v/>
      </c>
    </row>
    <row r="477">
      <c r="I477">
        <f>IF(AND(F477&lt;&gt;"",G477&lt;&gt;""),IF(F477&gt;=G477,"Sim","Não"),"")</f>
        <v/>
      </c>
    </row>
    <row r="478">
      <c r="I478">
        <f>IF(AND(F478&lt;&gt;"",G478&lt;&gt;""),IF(F478&gt;=G478,"Sim","Não"),"")</f>
        <v/>
      </c>
    </row>
    <row r="479">
      <c r="I479">
        <f>IF(AND(F479&lt;&gt;"",G479&lt;&gt;""),IF(F479&gt;=G479,"Sim","Não"),"")</f>
        <v/>
      </c>
    </row>
    <row r="480">
      <c r="I480">
        <f>IF(AND(F480&lt;&gt;"",G480&lt;&gt;""),IF(F480&gt;=G480,"Sim","Não"),"")</f>
        <v/>
      </c>
    </row>
    <row r="481">
      <c r="I481">
        <f>IF(AND(F481&lt;&gt;"",G481&lt;&gt;""),IF(F481&gt;=G481,"Sim","Não"),"")</f>
        <v/>
      </c>
    </row>
    <row r="482">
      <c r="I482">
        <f>IF(AND(F482&lt;&gt;"",G482&lt;&gt;""),IF(F482&gt;=G482,"Sim","Não"),"")</f>
        <v/>
      </c>
    </row>
    <row r="483">
      <c r="I483">
        <f>IF(AND(F483&lt;&gt;"",G483&lt;&gt;""),IF(F483&gt;=G483,"Sim","Não"),"")</f>
        <v/>
      </c>
    </row>
    <row r="484">
      <c r="I484">
        <f>IF(AND(F484&lt;&gt;"",G484&lt;&gt;""),IF(F484&gt;=G484,"Sim","Não"),"")</f>
        <v/>
      </c>
    </row>
    <row r="485">
      <c r="I485">
        <f>IF(AND(F485&lt;&gt;"",G485&lt;&gt;""),IF(F485&gt;=G485,"Sim","Não"),"")</f>
        <v/>
      </c>
    </row>
    <row r="486">
      <c r="I486">
        <f>IF(AND(F486&lt;&gt;"",G486&lt;&gt;""),IF(F486&gt;=G486,"Sim","Não"),"")</f>
        <v/>
      </c>
    </row>
    <row r="487">
      <c r="I487">
        <f>IF(AND(F487&lt;&gt;"",G487&lt;&gt;""),IF(F487&gt;=G487,"Sim","Não"),"")</f>
        <v/>
      </c>
    </row>
    <row r="488">
      <c r="I488">
        <f>IF(AND(F488&lt;&gt;"",G488&lt;&gt;""),IF(F488&gt;=G488,"Sim","Não"),"")</f>
        <v/>
      </c>
    </row>
    <row r="489">
      <c r="I489">
        <f>IF(AND(F489&lt;&gt;"",G489&lt;&gt;""),IF(F489&gt;=G489,"Sim","Não"),"")</f>
        <v/>
      </c>
    </row>
    <row r="490">
      <c r="I490">
        <f>IF(AND(F490&lt;&gt;"",G490&lt;&gt;""),IF(F490&gt;=G490,"Sim","Não"),"")</f>
        <v/>
      </c>
    </row>
    <row r="491">
      <c r="I491">
        <f>IF(AND(F491&lt;&gt;"",G491&lt;&gt;""),IF(F491&gt;=G491,"Sim","Não"),"")</f>
        <v/>
      </c>
    </row>
    <row r="492">
      <c r="I492">
        <f>IF(AND(F492&lt;&gt;"",G492&lt;&gt;""),IF(F492&gt;=G492,"Sim","Não"),"")</f>
        <v/>
      </c>
    </row>
    <row r="493">
      <c r="I493">
        <f>IF(AND(F493&lt;&gt;"",G493&lt;&gt;""),IF(F493&gt;=G493,"Sim","Não"),"")</f>
        <v/>
      </c>
    </row>
    <row r="494">
      <c r="I494">
        <f>IF(AND(F494&lt;&gt;"",G494&lt;&gt;""),IF(F494&gt;=G494,"Sim","Não"),"")</f>
        <v/>
      </c>
    </row>
    <row r="495">
      <c r="I495">
        <f>IF(AND(F495&lt;&gt;"",G495&lt;&gt;""),IF(F495&gt;=G495,"Sim","Não"),"")</f>
        <v/>
      </c>
    </row>
    <row r="496">
      <c r="I496">
        <f>IF(AND(F496&lt;&gt;"",G496&lt;&gt;""),IF(F496&gt;=G496,"Sim","Não"),"")</f>
        <v/>
      </c>
    </row>
    <row r="497">
      <c r="I497">
        <f>IF(AND(F497&lt;&gt;"",G497&lt;&gt;""),IF(F497&gt;=G497,"Sim","Não"),"")</f>
        <v/>
      </c>
    </row>
    <row r="498">
      <c r="I498">
        <f>IF(AND(F498&lt;&gt;"",G498&lt;&gt;""),IF(F498&gt;=G498,"Sim","Não"),"")</f>
        <v/>
      </c>
    </row>
    <row r="499">
      <c r="I499">
        <f>IF(AND(F499&lt;&gt;"",G499&lt;&gt;""),IF(F499&gt;=G499,"Sim","Não"),"")</f>
        <v/>
      </c>
    </row>
    <row r="500">
      <c r="I500">
        <f>IF(AND(F500&lt;&gt;"",G500&lt;&gt;""),IF(F500&gt;=G500,"Sim","Não"),"")</f>
        <v/>
      </c>
    </row>
  </sheetData>
  <autoFilter ref="A1:J1"/>
  <conditionalFormatting sqref="I2:I500">
    <cfRule type="expression" priority="1" dxfId="0">
      <formula>EXACT($I2,"Sim")</formula>
    </cfRule>
    <cfRule type="expression" priority="2" dxfId="1">
      <formula>EXACT($I2,"Não")</formula>
    </cfRule>
  </conditionalFormatting>
  <dataValidations count="1">
    <dataValidation sqref="E2:E500" showDropDown="0" showInputMessage="0" showErrorMessage="0" allowBlank="1" type="list">
      <formula1>=Listas!$A$2:$A$8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6" customWidth="1" min="4" max="4"/>
  </cols>
  <sheetData>
    <row r="1" ht="28" customHeight="1">
      <c r="A1" s="1" t="inlineStr">
        <is>
          <t>ID</t>
        </is>
      </c>
      <c r="B1" s="1" t="inlineStr">
        <is>
          <t>Severidade</t>
        </is>
      </c>
      <c r="C1" s="1" t="inlineStr">
        <is>
          <t>Tipo</t>
        </is>
      </c>
      <c r="D1" s="1" t="inlineStr">
        <is>
          <t>Tempo de Correção (dias)</t>
        </is>
      </c>
    </row>
  </sheetData>
  <autoFilter ref="A1:D1"/>
  <conditionalFormatting sqref="B2:B500">
    <cfRule type="expression" priority="1" dxfId="1">
      <formula>EXACT($B2,"Crítica")</formula>
    </cfRule>
    <cfRule type="expression" priority="2" dxfId="2">
      <formula>EXACT($B2,"Alta")</formula>
    </cfRule>
  </conditionalFormatting>
  <dataValidations count="2">
    <dataValidation sqref="B2:B500" showDropDown="0" showInputMessage="0" showErrorMessage="0" allowBlank="1" type="list">
      <formula1>=Listas!$B$2:$B$5</formula1>
    </dataValidation>
    <dataValidation sqref="C2:C500" showDropDown="0" showInputMessage="0" showErrorMessage="0" allowBlank="1" type="list">
      <formula1>=Listas!$D$2:$D$8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7" customWidth="1" min="4" max="4"/>
    <col width="15" customWidth="1" min="5" max="5"/>
  </cols>
  <sheetData>
    <row r="1" ht="28" customHeight="1">
      <c r="A1" s="1" t="inlineStr">
        <is>
          <t>ID</t>
        </is>
      </c>
      <c r="B1" s="1" t="inlineStr">
        <is>
          <t>Sprint</t>
        </is>
      </c>
      <c r="C1" s="1" t="inlineStr">
        <is>
          <t>Casos Executados</t>
        </is>
      </c>
      <c r="D1" s="1" t="inlineStr">
        <is>
          <t>Casos Aprovados</t>
        </is>
      </c>
      <c r="E1" s="1" t="inlineStr">
        <is>
          <t>Cobertura (%)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2" customWidth="1" min="4" max="4"/>
    <col width="12" customWidth="1" min="5" max="5"/>
    <col width="14" customWidth="1" min="8" max="8"/>
    <col width="14" customWidth="1" min="9" max="9"/>
    <col width="14" customWidth="1" min="10" max="10"/>
  </cols>
  <sheetData>
    <row r="1">
      <c r="A1" s="2" t="inlineStr">
        <is>
          <t>Análises de Qualidade</t>
        </is>
      </c>
    </row>
    <row r="2">
      <c r="A2" s="3" t="inlineStr">
        <is>
          <t>Indicadores (KPIs)</t>
        </is>
      </c>
      <c r="D2" s="3" t="inlineStr">
        <is>
          <t>Defeitos por Severidade</t>
        </is>
      </c>
      <c r="H2" s="3" t="inlineStr">
        <is>
          <t>Tendência de Qualidade (Mensal)</t>
        </is>
      </c>
    </row>
    <row r="3">
      <c r="A3" s="4" t="inlineStr">
        <is>
          <t>Total de Métricas</t>
        </is>
      </c>
      <c r="B3">
        <f>COUNTA(Metricas!A2:A500)</f>
        <v/>
      </c>
      <c r="D3" s="4" t="inlineStr">
        <is>
          <t>Categoria</t>
        </is>
      </c>
      <c r="E3" s="4" t="inlineStr">
        <is>
          <t>Quantidade</t>
        </is>
      </c>
      <c r="H3" s="4" t="inlineStr">
        <is>
          <t>Mês</t>
        </is>
      </c>
      <c r="I3" s="4" t="inlineStr">
        <is>
          <t>Valor Médio</t>
        </is>
      </c>
      <c r="J3" s="4" t="inlineStr">
        <is>
          <t>Cobertura (%)</t>
        </is>
      </c>
    </row>
    <row r="4">
      <c r="A4" s="4" t="inlineStr">
        <is>
          <t>% Metas Atingidas</t>
        </is>
      </c>
      <c r="B4">
        <f>IFERROR(COUNTIF(Metricas!I2:I500,"Sim")/(COUNTIF(Metricas!I2:I500,"Sim")+COUNTIF(Metricas!I2:I500,"Não"))*100,"")</f>
        <v/>
      </c>
      <c r="D4" t="inlineStr">
        <is>
          <t>Crítica</t>
        </is>
      </c>
      <c r="E4">
        <f>COUNTIF(Defeitos!B2:B500,$D4)</f>
        <v/>
      </c>
      <c r="H4" t="inlineStr">
        <is>
          <t>2026-01</t>
        </is>
      </c>
      <c r="I4">
        <f>IFERROR(AVERAGEIFS(Metricas!$F$2:$F$500,Metricas!$D$2:$D$500,"&gt;="&amp;DATE(2026,1,1),Metricas!$D$2:$D$500,"&lt;="&amp;DATE(2026,1,DAY(EOMONTH(DATE(2026,1,1),0)))),"")</f>
        <v/>
      </c>
    </row>
    <row r="5">
      <c r="A5" s="4" t="inlineStr">
        <is>
          <t>Total de Defeitos</t>
        </is>
      </c>
      <c r="B5">
        <f>COUNTA(Defeitos!A2:A500)</f>
        <v/>
      </c>
      <c r="D5" t="inlineStr">
        <is>
          <t>Alta</t>
        </is>
      </c>
      <c r="E5">
        <f>COUNTIF(Defeitos!B2:B500,$D5)</f>
        <v/>
      </c>
      <c r="H5" t="inlineStr">
        <is>
          <t>2026-02</t>
        </is>
      </c>
      <c r="I5">
        <f>IFERROR(AVERAGEIFS(Metricas!$F$2:$F$500,Metricas!$D$2:$D$500,"&gt;="&amp;DATE(2026,2,1),Metricas!$D$2:$D$500,"&lt;="&amp;DATE(2026,2,DAY(EOMONTH(DATE(2026,2,1),0)))),"")</f>
        <v/>
      </c>
    </row>
    <row r="6">
      <c r="A6" s="4" t="inlineStr">
        <is>
          <t>Defeitos Críticos</t>
        </is>
      </c>
      <c r="B6">
        <f>COUNTIF(Defeitos!B2:B500,"Crítica")</f>
        <v/>
      </c>
      <c r="D6" t="inlineStr">
        <is>
          <t>Média</t>
        </is>
      </c>
      <c r="E6">
        <f>COUNTIF(Defeitos!B2:B500,$D6)</f>
        <v/>
      </c>
      <c r="H6" t="inlineStr">
        <is>
          <t>2026-03</t>
        </is>
      </c>
      <c r="I6">
        <f>IFERROR(AVERAGEIFS(Metricas!$F$2:$F$500,Metricas!$D$2:$D$500,"&gt;="&amp;DATE(2026,3,1),Metricas!$D$2:$D$500,"&lt;="&amp;DATE(2026,3,DAY(EOMONTH(DATE(2026,3,1),0)))),"")</f>
        <v/>
      </c>
    </row>
    <row r="7">
      <c r="A7" s="4" t="inlineStr">
        <is>
          <t>Tempo Médio de Correção (dias)</t>
        </is>
      </c>
      <c r="B7">
        <f>IFERROR(AVERAGE(Defeitos!D2:D500),"")</f>
        <v/>
      </c>
      <c r="D7" t="inlineStr">
        <is>
          <t>Baixa</t>
        </is>
      </c>
      <c r="E7">
        <f>COUNTIF(Defeitos!B2:B500,$D7)</f>
        <v/>
      </c>
      <c r="H7" t="inlineStr">
        <is>
          <t>2026-04</t>
        </is>
      </c>
      <c r="I7">
        <f>IFERROR(AVERAGEIFS(Metricas!$F$2:$F$500,Metricas!$D$2:$D$500,"&gt;="&amp;DATE(2026,4,1),Metricas!$D$2:$D$500,"&lt;="&amp;DATE(2026,4,DAY(EOMONTH(DATE(2026,4,1),0)))),"")</f>
        <v/>
      </c>
    </row>
    <row r="8">
      <c r="A8" s="4" t="inlineStr">
        <is>
          <t>Casos Executados</t>
        </is>
      </c>
      <c r="B8">
        <f>SUM(Testes!C2:C500)</f>
        <v/>
      </c>
      <c r="H8" t="inlineStr">
        <is>
          <t>2026-05</t>
        </is>
      </c>
      <c r="I8">
        <f>IFERROR(AVERAGEIFS(Metricas!$F$2:$F$500,Metricas!$D$2:$D$500,"&gt;="&amp;DATE(2026,5,1),Metricas!$D$2:$D$500,"&lt;="&amp;DATE(2026,5,DAY(EOMONTH(DATE(2026,5,1),0)))),"")</f>
        <v/>
      </c>
    </row>
    <row r="9">
      <c r="A9" s="4" t="inlineStr">
        <is>
          <t>Casos Aprovados</t>
        </is>
      </c>
      <c r="B9">
        <f>SUM(Testes!D2:D500)</f>
        <v/>
      </c>
      <c r="D9" s="3" t="inlineStr">
        <is>
          <t>Cumprimento de Metas</t>
        </is>
      </c>
      <c r="H9" t="inlineStr">
        <is>
          <t>2026-06</t>
        </is>
      </c>
      <c r="I9">
        <f>IFERROR(AVERAGEIFS(Metricas!$F$2:$F$500,Metricas!$D$2:$D$500,"&gt;="&amp;DATE(2026,6,1),Metricas!$D$2:$D$500,"&lt;="&amp;DATE(2026,6,DAY(EOMONTH(DATE(2026,6,1),0)))),"")</f>
        <v/>
      </c>
    </row>
    <row r="10">
      <c r="A10" s="4" t="inlineStr">
        <is>
          <t>Eficiência de Testes (%)</t>
        </is>
      </c>
      <c r="B10">
        <f>IFERROR(B8/B7*100,"")</f>
        <v/>
      </c>
      <c r="D10" s="4" t="inlineStr">
        <is>
          <t>Situação</t>
        </is>
      </c>
      <c r="E10" s="4" t="inlineStr">
        <is>
          <t>Quantidade</t>
        </is>
      </c>
      <c r="H10" t="inlineStr">
        <is>
          <t>2026-07</t>
        </is>
      </c>
      <c r="I10">
        <f>IFERROR(AVERAGEIFS(Metricas!$F$2:$F$500,Metricas!$D$2:$D$500,"&gt;="&amp;DATE(2026,7,1),Metricas!$D$2:$D$500,"&lt;="&amp;DATE(2026,7,DAY(EOMONTH(DATE(2026,7,1),0)))),"")</f>
        <v/>
      </c>
    </row>
    <row r="11">
      <c r="A11" s="4" t="inlineStr">
        <is>
          <t>Cobertura Média (%)</t>
        </is>
      </c>
      <c r="B11">
        <f>IFERROR(AVERAGE(Testes!E2:E500),"")</f>
        <v/>
      </c>
      <c r="D11" t="inlineStr">
        <is>
          <t>Atingidas</t>
        </is>
      </c>
      <c r="E11">
        <f>COUNTIF(Metricas!I2:I500,"Sim")</f>
        <v/>
      </c>
      <c r="H11" t="inlineStr">
        <is>
          <t>2026-08</t>
        </is>
      </c>
      <c r="I11">
        <f>IFERROR(AVERAGEIFS(Metricas!$F$2:$F$500,Metricas!$D$2:$D$500,"&gt;="&amp;DATE(2026,8,1),Metricas!$D$2:$D$500,"&lt;="&amp;DATE(2026,8,DAY(EOMONTH(DATE(2026,8,1),0)))),"")</f>
        <v/>
      </c>
    </row>
    <row r="12">
      <c r="D12" t="inlineStr">
        <is>
          <t>Não Atingidas</t>
        </is>
      </c>
      <c r="E12">
        <f>COUNTIF(Metricas!I2:I500,"Não")</f>
        <v/>
      </c>
      <c r="H12" t="inlineStr">
        <is>
          <t>2026-09</t>
        </is>
      </c>
      <c r="I12">
        <f>IFERROR(AVERAGEIFS(Metricas!$F$2:$F$500,Metricas!$D$2:$D$500,"&gt;="&amp;DATE(2026,9,1),Metricas!$D$2:$D$500,"&lt;="&amp;DATE(2026,9,DAY(EOMONTH(DATE(2026,9,1),0)))),"")</f>
        <v/>
      </c>
    </row>
    <row r="13">
      <c r="H13" t="inlineStr">
        <is>
          <t>2026-10</t>
        </is>
      </c>
      <c r="I13">
        <f>IFERROR(AVERAGEIFS(Metricas!$F$2:$F$500,Metricas!$D$2:$D$500,"&gt;="&amp;DATE(2026,10,1),Metricas!$D$2:$D$500,"&lt;="&amp;DATE(2026,10,DAY(EOMONTH(DATE(2026,10,1),0)))),"")</f>
        <v/>
      </c>
    </row>
    <row r="14">
      <c r="H14" t="inlineStr">
        <is>
          <t>2026-11</t>
        </is>
      </c>
      <c r="I14">
        <f>IFERROR(AVERAGEIFS(Metricas!$F$2:$F$500,Metricas!$D$2:$D$500,"&gt;="&amp;DATE(2026,11,1),Metricas!$D$2:$D$500,"&lt;="&amp;DATE(2026,11,DAY(EOMONTH(DATE(2026,11,1),0)))),"")</f>
        <v/>
      </c>
    </row>
    <row r="15">
      <c r="H15" t="inlineStr">
        <is>
          <t>2026-12</t>
        </is>
      </c>
      <c r="I15">
        <f>IFERROR(AVERAGEIFS(Metricas!$F$2:$F$500,Metricas!$D$2:$D$500,"&gt;="&amp;DATE(2026,12,1),Metricas!$D$2:$D$500,"&lt;="&amp;DATE(2026,12,DAY(EOMONTH(DATE(2026,12,1),0)))),"")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5" t="inlineStr">
        <is>
          <t>Painel de Qualidade</t>
        </is>
      </c>
    </row>
    <row r="3">
      <c r="A3" s="3" t="inlineStr">
        <is>
          <t>Indicadores (KPIs)</t>
        </is>
      </c>
    </row>
    <row r="4">
      <c r="A4" s="4" t="inlineStr">
        <is>
          <t>% Metas Atingidas</t>
        </is>
      </c>
      <c r="B4">
        <f>Analises!B4</f>
        <v/>
      </c>
    </row>
    <row r="5">
      <c r="A5" s="4" t="inlineStr">
        <is>
          <t>Defeitos Críticos</t>
        </is>
      </c>
      <c r="B5">
        <f>Analises!B6</f>
        <v/>
      </c>
    </row>
    <row r="6">
      <c r="A6" s="4" t="inlineStr">
        <is>
          <t>Eficiência de Testes (%)</t>
        </is>
      </c>
      <c r="B6">
        <f>Analises!B10</f>
        <v/>
      </c>
    </row>
    <row r="7">
      <c r="A7" s="4" t="inlineStr">
        <is>
          <t>Cobertura Média (%)</t>
        </is>
      </c>
      <c r="B7">
        <f>Analises!B11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6" t="inlineStr">
        <is>
          <t>Tipo de Métrica</t>
        </is>
      </c>
      <c r="B1" s="6" t="inlineStr">
        <is>
          <t>Severidade</t>
        </is>
      </c>
      <c r="C1" s="6" t="inlineStr">
        <is>
          <t>Status</t>
        </is>
      </c>
      <c r="D1" s="6" t="inlineStr">
        <is>
          <t>Tipo de Defeito</t>
        </is>
      </c>
    </row>
    <row r="2">
      <c r="A2" t="inlineStr">
        <is>
          <t>Densidade de Defeitos</t>
        </is>
      </c>
      <c r="B2" t="inlineStr">
        <is>
          <t>Crítica</t>
        </is>
      </c>
      <c r="C2" t="inlineStr">
        <is>
          <t>Aberto</t>
        </is>
      </c>
      <c r="D2" t="inlineStr">
        <is>
          <t>Funcional</t>
        </is>
      </c>
    </row>
    <row r="3">
      <c r="A3" t="inlineStr">
        <is>
          <t>Cobertura de Testes</t>
        </is>
      </c>
      <c r="B3" t="inlineStr">
        <is>
          <t>Alta</t>
        </is>
      </c>
      <c r="C3" t="inlineStr">
        <is>
          <t>Em Correção</t>
        </is>
      </c>
      <c r="D3" t="inlineStr">
        <is>
          <t>Interface</t>
        </is>
      </c>
    </row>
    <row r="4">
      <c r="A4" t="inlineStr">
        <is>
          <t>Taxa de Retrabalho</t>
        </is>
      </c>
      <c r="B4" t="inlineStr">
        <is>
          <t>Média</t>
        </is>
      </c>
      <c r="C4" t="inlineStr">
        <is>
          <t>Fechado</t>
        </is>
      </c>
      <c r="D4" t="inlineStr">
        <is>
          <t>Desempenho</t>
        </is>
      </c>
    </row>
    <row r="5">
      <c r="A5" t="inlineStr">
        <is>
          <t>Yield de Revisão</t>
        </is>
      </c>
      <c r="B5" t="inlineStr">
        <is>
          <t>Baixa</t>
        </is>
      </c>
      <c r="D5" t="inlineStr">
        <is>
          <t>Segurança</t>
        </is>
      </c>
    </row>
    <row r="6">
      <c r="A6" t="inlineStr">
        <is>
          <t>Eficiência de Remoção</t>
        </is>
      </c>
      <c r="D6" t="inlineStr">
        <is>
          <t>Usabilidade</t>
        </is>
      </c>
    </row>
    <row r="7">
      <c r="A7" t="inlineStr">
        <is>
          <t>Satisfação</t>
        </is>
      </c>
      <c r="D7" t="inlineStr">
        <is>
          <t>Dados</t>
        </is>
      </c>
    </row>
    <row r="8">
      <c r="A8" t="inlineStr">
        <is>
          <t>Outra</t>
        </is>
      </c>
      <c r="D8" t="inlineStr">
        <is>
          <t>Outro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2026-06-06T17:25:42Z</dcterms:created>
  <dcterms:modified xsi:type="dcterms:W3CDTF">2026-06-06T17:25:42Z</dcterms:modified>
</cp:coreProperties>
</file>