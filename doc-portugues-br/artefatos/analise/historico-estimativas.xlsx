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ivas" sheetId="1" state="visible" r:id="rId1"/>
    <sheet name="Versoes_Historicas" sheetId="2" state="visible" r:id="rId2"/>
    <sheet name="Analises" sheetId="3" state="visible" r:id="rId3"/>
    <sheet name="Dashboards" sheetId="4" state="visible" r:id="rId4"/>
    <sheet name="Listas" sheetId="5" state="visible" r:id="rId5"/>
  </sheets>
  <definedNames>
    <definedName name="_xlnm._FilterDatabase" localSheetId="0" hidden="1">'Estimativas'!$A$1:$O$1</definedName>
    <definedName name="_xlnm._FilterDatabase" localSheetId="1" hidden="1">'Versoes_Historicas'!$A$1:$F$1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do Desvio (Mensal)</a:t>
            </a:r>
          </a:p>
        </rich>
      </tx>
    </title>
    <plotArea>
      <lineChart>
        <grouping val="standard"/>
        <ser>
          <idx val="0"/>
          <order val="0"/>
          <tx>
            <strRef>
              <f>'Analises'!I10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'Analises'!$H$11:$H$22</f>
            </strRef>
          </cat>
          <val>
            <numRef>
              <f>'Analises'!$I$11:$I$22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Precisão por Versão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'Analises'!I3</f>
            </strRef>
          </tx>
          <spPr>
            <a:ln>
              <a:prstDash val="solid"/>
            </a:ln>
          </spPr>
          <cat>
            <strRef>
              <f>'Analises'!$H$4:$H$7</f>
            </strRef>
          </cat>
          <val>
            <numRef>
              <f>'Analises'!$I$4:$I$7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Estimado vs Realizado por Versão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'Analises'!J3</f>
            </strRef>
          </tx>
          <spPr>
            <a:ln>
              <a:prstDash val="solid"/>
            </a:ln>
          </spPr>
          <cat>
            <strRef>
              <f>'Analises'!$H$4:$H$7</f>
            </strRef>
          </cat>
          <val>
            <numRef>
              <f>'Analises'!$J$4:$J$7</f>
            </numRef>
          </val>
        </ser>
        <ser>
          <idx val="1"/>
          <order val="1"/>
          <tx>
            <strRef>
              <f>'Analises'!K3</f>
            </strRef>
          </tx>
          <spPr>
            <a:ln>
              <a:prstDash val="solid"/>
            </a:ln>
          </spPr>
          <cat>
            <strRef>
              <f>'Analises'!$H$4:$H$7</f>
            </strRef>
          </cat>
          <val>
            <numRef>
              <f>'Analises'!$K$4:$K$7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Precisão por Responsável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'Analises'!E14</f>
            </strRef>
          </tx>
          <spPr>
            <a:ln>
              <a:prstDash val="solid"/>
            </a:ln>
          </spPr>
          <cat>
            <strRef>
              <f>'Analises'!$D$15:$D$24</f>
            </strRef>
          </cat>
          <val>
            <numRef>
              <f>'Analises'!$E$15:$E$24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9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26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3" customWidth="1" min="4" max="4"/>
    <col width="19" customWidth="1" min="5" max="5"/>
    <col width="23" customWidth="1" min="6" max="6"/>
    <col width="13" customWidth="1" min="7" max="7"/>
    <col width="18" customWidth="1" min="8" max="8"/>
    <col width="14" customWidth="1" min="9" max="9"/>
    <col width="18" customWidth="1" min="10" max="10"/>
    <col width="14" customWidth="1" min="11" max="11"/>
    <col width="17" customWidth="1" min="12" max="12"/>
    <col width="19" customWidth="1" min="13" max="13"/>
    <col width="13" customWidth="1" min="14" max="14"/>
    <col width="13" customWidth="1" min="15" max="15"/>
  </cols>
  <sheetData>
    <row r="1" ht="30" customHeight="1">
      <c r="A1" s="1" t="inlineStr">
        <is>
          <t>ID</t>
        </is>
      </c>
      <c r="B1" s="1" t="inlineStr">
        <is>
          <t>Projeto</t>
        </is>
      </c>
      <c r="C1" s="1" t="inlineStr">
        <is>
          <t>Funcionalidade / Entrega</t>
        </is>
      </c>
      <c r="D1" s="1" t="inlineStr">
        <is>
          <t>Versão</t>
        </is>
      </c>
      <c r="E1" s="1" t="inlineStr">
        <is>
          <t>Sprint / Iteração</t>
        </is>
      </c>
      <c r="F1" s="1" t="inlineStr">
        <is>
          <t>Técnica de Estimativa</t>
        </is>
      </c>
      <c r="G1" s="1" t="inlineStr">
        <is>
          <t>Data</t>
        </is>
      </c>
      <c r="H1" s="1" t="inlineStr">
        <is>
          <t>Esforço Estimado</t>
        </is>
      </c>
      <c r="I1" s="1" t="inlineStr">
        <is>
          <t>Esforço Real</t>
        </is>
      </c>
      <c r="J1" s="1" t="inlineStr">
        <is>
          <t>Tamanho Estimado</t>
        </is>
      </c>
      <c r="K1" s="1" t="inlineStr">
        <is>
          <t>Complexidade</t>
        </is>
      </c>
      <c r="L1" s="1" t="inlineStr">
        <is>
          <t>Desvio Absoluto</t>
        </is>
      </c>
      <c r="M1" s="1" t="inlineStr">
        <is>
          <t>Desvio Percentual</t>
        </is>
      </c>
      <c r="N1" s="1" t="inlineStr">
        <is>
          <t>Responsável</t>
        </is>
      </c>
      <c r="O1" s="1" t="inlineStr">
        <is>
          <t>Observações</t>
        </is>
      </c>
      <c r="P1" s="2" t="inlineStr">
        <is>
          <t>Erro Absoluto (%)</t>
        </is>
      </c>
    </row>
    <row r="2">
      <c r="L2">
        <f>IF(AND(H2&lt;&gt;"",I2&lt;&gt;""),I2-H2,"")</f>
        <v/>
      </c>
      <c r="M2">
        <f>IF(AND(H2&lt;&gt;"",H2&lt;&gt;0,I2&lt;&gt;""),(I2-H2)/H2*100,"")</f>
        <v/>
      </c>
      <c r="P2">
        <f>IF(ISNUMBER(M2),ABS(M2),"")</f>
        <v/>
      </c>
    </row>
    <row r="3">
      <c r="L3">
        <f>IF(AND(H3&lt;&gt;"",I3&lt;&gt;""),I3-H3,"")</f>
        <v/>
      </c>
      <c r="M3">
        <f>IF(AND(H3&lt;&gt;"",H3&lt;&gt;0,I3&lt;&gt;""),(I3-H3)/H3*100,"")</f>
        <v/>
      </c>
      <c r="P3">
        <f>IF(ISNUMBER(M3),ABS(M3),"")</f>
        <v/>
      </c>
    </row>
    <row r="4">
      <c r="L4">
        <f>IF(AND(H4&lt;&gt;"",I4&lt;&gt;""),I4-H4,"")</f>
        <v/>
      </c>
      <c r="M4">
        <f>IF(AND(H4&lt;&gt;"",H4&lt;&gt;0,I4&lt;&gt;""),(I4-H4)/H4*100,"")</f>
        <v/>
      </c>
      <c r="P4">
        <f>IF(ISNUMBER(M4),ABS(M4),"")</f>
        <v/>
      </c>
    </row>
    <row r="5">
      <c r="L5">
        <f>IF(AND(H5&lt;&gt;"",I5&lt;&gt;""),I5-H5,"")</f>
        <v/>
      </c>
      <c r="M5">
        <f>IF(AND(H5&lt;&gt;"",H5&lt;&gt;0,I5&lt;&gt;""),(I5-H5)/H5*100,"")</f>
        <v/>
      </c>
      <c r="P5">
        <f>IF(ISNUMBER(M5),ABS(M5),"")</f>
        <v/>
      </c>
    </row>
    <row r="6">
      <c r="L6">
        <f>IF(AND(H6&lt;&gt;"",I6&lt;&gt;""),I6-H6,"")</f>
        <v/>
      </c>
      <c r="M6">
        <f>IF(AND(H6&lt;&gt;"",H6&lt;&gt;0,I6&lt;&gt;""),(I6-H6)/H6*100,"")</f>
        <v/>
      </c>
      <c r="P6">
        <f>IF(ISNUMBER(M6),ABS(M6),"")</f>
        <v/>
      </c>
    </row>
    <row r="7">
      <c r="L7">
        <f>IF(AND(H7&lt;&gt;"",I7&lt;&gt;""),I7-H7,"")</f>
        <v/>
      </c>
      <c r="M7">
        <f>IF(AND(H7&lt;&gt;"",H7&lt;&gt;0,I7&lt;&gt;""),(I7-H7)/H7*100,"")</f>
        <v/>
      </c>
      <c r="P7">
        <f>IF(ISNUMBER(M7),ABS(M7),"")</f>
        <v/>
      </c>
    </row>
    <row r="8">
      <c r="L8">
        <f>IF(AND(H8&lt;&gt;"",I8&lt;&gt;""),I8-H8,"")</f>
        <v/>
      </c>
      <c r="M8">
        <f>IF(AND(H8&lt;&gt;"",H8&lt;&gt;0,I8&lt;&gt;""),(I8-H8)/H8*100,"")</f>
        <v/>
      </c>
      <c r="P8">
        <f>IF(ISNUMBER(M8),ABS(M8),"")</f>
        <v/>
      </c>
    </row>
    <row r="9">
      <c r="L9">
        <f>IF(AND(H9&lt;&gt;"",I9&lt;&gt;""),I9-H9,"")</f>
        <v/>
      </c>
      <c r="M9">
        <f>IF(AND(H9&lt;&gt;"",H9&lt;&gt;0,I9&lt;&gt;""),(I9-H9)/H9*100,"")</f>
        <v/>
      </c>
      <c r="P9">
        <f>IF(ISNUMBER(M9),ABS(M9),"")</f>
        <v/>
      </c>
    </row>
    <row r="10">
      <c r="L10">
        <f>IF(AND(H10&lt;&gt;"",I10&lt;&gt;""),I10-H10,"")</f>
        <v/>
      </c>
      <c r="M10">
        <f>IF(AND(H10&lt;&gt;"",H10&lt;&gt;0,I10&lt;&gt;""),(I10-H10)/H10*100,"")</f>
        <v/>
      </c>
      <c r="P10">
        <f>IF(ISNUMBER(M10),ABS(M10),"")</f>
        <v/>
      </c>
    </row>
    <row r="11">
      <c r="L11">
        <f>IF(AND(H11&lt;&gt;"",I11&lt;&gt;""),I11-H11,"")</f>
        <v/>
      </c>
      <c r="M11">
        <f>IF(AND(H11&lt;&gt;"",H11&lt;&gt;0,I11&lt;&gt;""),(I11-H11)/H11*100,"")</f>
        <v/>
      </c>
      <c r="P11">
        <f>IF(ISNUMBER(M11),ABS(M11),"")</f>
        <v/>
      </c>
    </row>
    <row r="12">
      <c r="L12">
        <f>IF(AND(H12&lt;&gt;"",I12&lt;&gt;""),I12-H12,"")</f>
        <v/>
      </c>
      <c r="M12">
        <f>IF(AND(H12&lt;&gt;"",H12&lt;&gt;0,I12&lt;&gt;""),(I12-H12)/H12*100,"")</f>
        <v/>
      </c>
      <c r="P12">
        <f>IF(ISNUMBER(M12),ABS(M12),"")</f>
        <v/>
      </c>
    </row>
    <row r="13">
      <c r="L13">
        <f>IF(AND(H13&lt;&gt;"",I13&lt;&gt;""),I13-H13,"")</f>
        <v/>
      </c>
      <c r="M13">
        <f>IF(AND(H13&lt;&gt;"",H13&lt;&gt;0,I13&lt;&gt;""),(I13-H13)/H13*100,"")</f>
        <v/>
      </c>
      <c r="P13">
        <f>IF(ISNUMBER(M13),ABS(M13),"")</f>
        <v/>
      </c>
    </row>
    <row r="14">
      <c r="L14">
        <f>IF(AND(H14&lt;&gt;"",I14&lt;&gt;""),I14-H14,"")</f>
        <v/>
      </c>
      <c r="M14">
        <f>IF(AND(H14&lt;&gt;"",H14&lt;&gt;0,I14&lt;&gt;""),(I14-H14)/H14*100,"")</f>
        <v/>
      </c>
      <c r="P14">
        <f>IF(ISNUMBER(M14),ABS(M14),"")</f>
        <v/>
      </c>
    </row>
    <row r="15">
      <c r="L15">
        <f>IF(AND(H15&lt;&gt;"",I15&lt;&gt;""),I15-H15,"")</f>
        <v/>
      </c>
      <c r="M15">
        <f>IF(AND(H15&lt;&gt;"",H15&lt;&gt;0,I15&lt;&gt;""),(I15-H15)/H15*100,"")</f>
        <v/>
      </c>
      <c r="P15">
        <f>IF(ISNUMBER(M15),ABS(M15),"")</f>
        <v/>
      </c>
    </row>
    <row r="16">
      <c r="L16">
        <f>IF(AND(H16&lt;&gt;"",I16&lt;&gt;""),I16-H16,"")</f>
        <v/>
      </c>
      <c r="M16">
        <f>IF(AND(H16&lt;&gt;"",H16&lt;&gt;0,I16&lt;&gt;""),(I16-H16)/H16*100,"")</f>
        <v/>
      </c>
      <c r="P16">
        <f>IF(ISNUMBER(M16),ABS(M16),"")</f>
        <v/>
      </c>
    </row>
    <row r="17">
      <c r="L17">
        <f>IF(AND(H17&lt;&gt;"",I17&lt;&gt;""),I17-H17,"")</f>
        <v/>
      </c>
      <c r="M17">
        <f>IF(AND(H17&lt;&gt;"",H17&lt;&gt;0,I17&lt;&gt;""),(I17-H17)/H17*100,"")</f>
        <v/>
      </c>
      <c r="P17">
        <f>IF(ISNUMBER(M17),ABS(M17),"")</f>
        <v/>
      </c>
    </row>
    <row r="18">
      <c r="L18">
        <f>IF(AND(H18&lt;&gt;"",I18&lt;&gt;""),I18-H18,"")</f>
        <v/>
      </c>
      <c r="M18">
        <f>IF(AND(H18&lt;&gt;"",H18&lt;&gt;0,I18&lt;&gt;""),(I18-H18)/H18*100,"")</f>
        <v/>
      </c>
      <c r="P18">
        <f>IF(ISNUMBER(M18),ABS(M18),"")</f>
        <v/>
      </c>
    </row>
    <row r="19">
      <c r="L19">
        <f>IF(AND(H19&lt;&gt;"",I19&lt;&gt;""),I19-H19,"")</f>
        <v/>
      </c>
      <c r="M19">
        <f>IF(AND(H19&lt;&gt;"",H19&lt;&gt;0,I19&lt;&gt;""),(I19-H19)/H19*100,"")</f>
        <v/>
      </c>
      <c r="P19">
        <f>IF(ISNUMBER(M19),ABS(M19),"")</f>
        <v/>
      </c>
    </row>
    <row r="20">
      <c r="L20">
        <f>IF(AND(H20&lt;&gt;"",I20&lt;&gt;""),I20-H20,"")</f>
        <v/>
      </c>
      <c r="M20">
        <f>IF(AND(H20&lt;&gt;"",H20&lt;&gt;0,I20&lt;&gt;""),(I20-H20)/H20*100,"")</f>
        <v/>
      </c>
      <c r="P20">
        <f>IF(ISNUMBER(M20),ABS(M20),"")</f>
        <v/>
      </c>
    </row>
    <row r="21">
      <c r="L21">
        <f>IF(AND(H21&lt;&gt;"",I21&lt;&gt;""),I21-H21,"")</f>
        <v/>
      </c>
      <c r="M21">
        <f>IF(AND(H21&lt;&gt;"",H21&lt;&gt;0,I21&lt;&gt;""),(I21-H21)/H21*100,"")</f>
        <v/>
      </c>
      <c r="P21">
        <f>IF(ISNUMBER(M21),ABS(M21),"")</f>
        <v/>
      </c>
    </row>
    <row r="22">
      <c r="L22">
        <f>IF(AND(H22&lt;&gt;"",I22&lt;&gt;""),I22-H22,"")</f>
        <v/>
      </c>
      <c r="M22">
        <f>IF(AND(H22&lt;&gt;"",H22&lt;&gt;0,I22&lt;&gt;""),(I22-H22)/H22*100,"")</f>
        <v/>
      </c>
      <c r="P22">
        <f>IF(ISNUMBER(M22),ABS(M22),"")</f>
        <v/>
      </c>
    </row>
    <row r="23">
      <c r="L23">
        <f>IF(AND(H23&lt;&gt;"",I23&lt;&gt;""),I23-H23,"")</f>
        <v/>
      </c>
      <c r="M23">
        <f>IF(AND(H23&lt;&gt;"",H23&lt;&gt;0,I23&lt;&gt;""),(I23-H23)/H23*100,"")</f>
        <v/>
      </c>
      <c r="P23">
        <f>IF(ISNUMBER(M23),ABS(M23),"")</f>
        <v/>
      </c>
    </row>
    <row r="24">
      <c r="L24">
        <f>IF(AND(H24&lt;&gt;"",I24&lt;&gt;""),I24-H24,"")</f>
        <v/>
      </c>
      <c r="M24">
        <f>IF(AND(H24&lt;&gt;"",H24&lt;&gt;0,I24&lt;&gt;""),(I24-H24)/H24*100,"")</f>
        <v/>
      </c>
      <c r="P24">
        <f>IF(ISNUMBER(M24),ABS(M24),"")</f>
        <v/>
      </c>
    </row>
    <row r="25">
      <c r="L25">
        <f>IF(AND(H25&lt;&gt;"",I25&lt;&gt;""),I25-H25,"")</f>
        <v/>
      </c>
      <c r="M25">
        <f>IF(AND(H25&lt;&gt;"",H25&lt;&gt;0,I25&lt;&gt;""),(I25-H25)/H25*100,"")</f>
        <v/>
      </c>
      <c r="P25">
        <f>IF(ISNUMBER(M25),ABS(M25),"")</f>
        <v/>
      </c>
    </row>
    <row r="26">
      <c r="L26">
        <f>IF(AND(H26&lt;&gt;"",I26&lt;&gt;""),I26-H26,"")</f>
        <v/>
      </c>
      <c r="M26">
        <f>IF(AND(H26&lt;&gt;"",H26&lt;&gt;0,I26&lt;&gt;""),(I26-H26)/H26*100,"")</f>
        <v/>
      </c>
      <c r="P26">
        <f>IF(ISNUMBER(M26),ABS(M26),"")</f>
        <v/>
      </c>
    </row>
    <row r="27">
      <c r="L27">
        <f>IF(AND(H27&lt;&gt;"",I27&lt;&gt;""),I27-H27,"")</f>
        <v/>
      </c>
      <c r="M27">
        <f>IF(AND(H27&lt;&gt;"",H27&lt;&gt;0,I27&lt;&gt;""),(I27-H27)/H27*100,"")</f>
        <v/>
      </c>
      <c r="P27">
        <f>IF(ISNUMBER(M27),ABS(M27),"")</f>
        <v/>
      </c>
    </row>
    <row r="28">
      <c r="L28">
        <f>IF(AND(H28&lt;&gt;"",I28&lt;&gt;""),I28-H28,"")</f>
        <v/>
      </c>
      <c r="M28">
        <f>IF(AND(H28&lt;&gt;"",H28&lt;&gt;0,I28&lt;&gt;""),(I28-H28)/H28*100,"")</f>
        <v/>
      </c>
      <c r="P28">
        <f>IF(ISNUMBER(M28),ABS(M28),"")</f>
        <v/>
      </c>
    </row>
    <row r="29">
      <c r="L29">
        <f>IF(AND(H29&lt;&gt;"",I29&lt;&gt;""),I29-H29,"")</f>
        <v/>
      </c>
      <c r="M29">
        <f>IF(AND(H29&lt;&gt;"",H29&lt;&gt;0,I29&lt;&gt;""),(I29-H29)/H29*100,"")</f>
        <v/>
      </c>
      <c r="P29">
        <f>IF(ISNUMBER(M29),ABS(M29),"")</f>
        <v/>
      </c>
    </row>
    <row r="30">
      <c r="L30">
        <f>IF(AND(H30&lt;&gt;"",I30&lt;&gt;""),I30-H30,"")</f>
        <v/>
      </c>
      <c r="M30">
        <f>IF(AND(H30&lt;&gt;"",H30&lt;&gt;0,I30&lt;&gt;""),(I30-H30)/H30*100,"")</f>
        <v/>
      </c>
      <c r="P30">
        <f>IF(ISNUMBER(M30),ABS(M30),"")</f>
        <v/>
      </c>
    </row>
    <row r="31">
      <c r="L31">
        <f>IF(AND(H31&lt;&gt;"",I31&lt;&gt;""),I31-H31,"")</f>
        <v/>
      </c>
      <c r="M31">
        <f>IF(AND(H31&lt;&gt;"",H31&lt;&gt;0,I31&lt;&gt;""),(I31-H31)/H31*100,"")</f>
        <v/>
      </c>
      <c r="P31">
        <f>IF(ISNUMBER(M31),ABS(M31),"")</f>
        <v/>
      </c>
    </row>
    <row r="32">
      <c r="L32">
        <f>IF(AND(H32&lt;&gt;"",I32&lt;&gt;""),I32-H32,"")</f>
        <v/>
      </c>
      <c r="M32">
        <f>IF(AND(H32&lt;&gt;"",H32&lt;&gt;0,I32&lt;&gt;""),(I32-H32)/H32*100,"")</f>
        <v/>
      </c>
      <c r="P32">
        <f>IF(ISNUMBER(M32),ABS(M32),"")</f>
        <v/>
      </c>
    </row>
    <row r="33">
      <c r="L33">
        <f>IF(AND(H33&lt;&gt;"",I33&lt;&gt;""),I33-H33,"")</f>
        <v/>
      </c>
      <c r="M33">
        <f>IF(AND(H33&lt;&gt;"",H33&lt;&gt;0,I33&lt;&gt;""),(I33-H33)/H33*100,"")</f>
        <v/>
      </c>
      <c r="P33">
        <f>IF(ISNUMBER(M33),ABS(M33),"")</f>
        <v/>
      </c>
    </row>
    <row r="34">
      <c r="L34">
        <f>IF(AND(H34&lt;&gt;"",I34&lt;&gt;""),I34-H34,"")</f>
        <v/>
      </c>
      <c r="M34">
        <f>IF(AND(H34&lt;&gt;"",H34&lt;&gt;0,I34&lt;&gt;""),(I34-H34)/H34*100,"")</f>
        <v/>
      </c>
      <c r="P34">
        <f>IF(ISNUMBER(M34),ABS(M34),"")</f>
        <v/>
      </c>
    </row>
    <row r="35">
      <c r="L35">
        <f>IF(AND(H35&lt;&gt;"",I35&lt;&gt;""),I35-H35,"")</f>
        <v/>
      </c>
      <c r="M35">
        <f>IF(AND(H35&lt;&gt;"",H35&lt;&gt;0,I35&lt;&gt;""),(I35-H35)/H35*100,"")</f>
        <v/>
      </c>
      <c r="P35">
        <f>IF(ISNUMBER(M35),ABS(M35),"")</f>
        <v/>
      </c>
    </row>
    <row r="36">
      <c r="L36">
        <f>IF(AND(H36&lt;&gt;"",I36&lt;&gt;""),I36-H36,"")</f>
        <v/>
      </c>
      <c r="M36">
        <f>IF(AND(H36&lt;&gt;"",H36&lt;&gt;0,I36&lt;&gt;""),(I36-H36)/H36*100,"")</f>
        <v/>
      </c>
      <c r="P36">
        <f>IF(ISNUMBER(M36),ABS(M36),"")</f>
        <v/>
      </c>
    </row>
    <row r="37">
      <c r="L37">
        <f>IF(AND(H37&lt;&gt;"",I37&lt;&gt;""),I37-H37,"")</f>
        <v/>
      </c>
      <c r="M37">
        <f>IF(AND(H37&lt;&gt;"",H37&lt;&gt;0,I37&lt;&gt;""),(I37-H37)/H37*100,"")</f>
        <v/>
      </c>
      <c r="P37">
        <f>IF(ISNUMBER(M37),ABS(M37),"")</f>
        <v/>
      </c>
    </row>
    <row r="38">
      <c r="L38">
        <f>IF(AND(H38&lt;&gt;"",I38&lt;&gt;""),I38-H38,"")</f>
        <v/>
      </c>
      <c r="M38">
        <f>IF(AND(H38&lt;&gt;"",H38&lt;&gt;0,I38&lt;&gt;""),(I38-H38)/H38*100,"")</f>
        <v/>
      </c>
      <c r="P38">
        <f>IF(ISNUMBER(M38),ABS(M38),"")</f>
        <v/>
      </c>
    </row>
    <row r="39">
      <c r="L39">
        <f>IF(AND(H39&lt;&gt;"",I39&lt;&gt;""),I39-H39,"")</f>
        <v/>
      </c>
      <c r="M39">
        <f>IF(AND(H39&lt;&gt;"",H39&lt;&gt;0,I39&lt;&gt;""),(I39-H39)/H39*100,"")</f>
        <v/>
      </c>
      <c r="P39">
        <f>IF(ISNUMBER(M39),ABS(M39),"")</f>
        <v/>
      </c>
    </row>
    <row r="40">
      <c r="L40">
        <f>IF(AND(H40&lt;&gt;"",I40&lt;&gt;""),I40-H40,"")</f>
        <v/>
      </c>
      <c r="M40">
        <f>IF(AND(H40&lt;&gt;"",H40&lt;&gt;0,I40&lt;&gt;""),(I40-H40)/H40*100,"")</f>
        <v/>
      </c>
      <c r="P40">
        <f>IF(ISNUMBER(M40),ABS(M40),"")</f>
        <v/>
      </c>
    </row>
    <row r="41">
      <c r="L41">
        <f>IF(AND(H41&lt;&gt;"",I41&lt;&gt;""),I41-H41,"")</f>
        <v/>
      </c>
      <c r="M41">
        <f>IF(AND(H41&lt;&gt;"",H41&lt;&gt;0,I41&lt;&gt;""),(I41-H41)/H41*100,"")</f>
        <v/>
      </c>
      <c r="P41">
        <f>IF(ISNUMBER(M41),ABS(M41),"")</f>
        <v/>
      </c>
    </row>
    <row r="42">
      <c r="L42">
        <f>IF(AND(H42&lt;&gt;"",I42&lt;&gt;""),I42-H42,"")</f>
        <v/>
      </c>
      <c r="M42">
        <f>IF(AND(H42&lt;&gt;"",H42&lt;&gt;0,I42&lt;&gt;""),(I42-H42)/H42*100,"")</f>
        <v/>
      </c>
      <c r="P42">
        <f>IF(ISNUMBER(M42),ABS(M42),"")</f>
        <v/>
      </c>
    </row>
    <row r="43">
      <c r="L43">
        <f>IF(AND(H43&lt;&gt;"",I43&lt;&gt;""),I43-H43,"")</f>
        <v/>
      </c>
      <c r="M43">
        <f>IF(AND(H43&lt;&gt;"",H43&lt;&gt;0,I43&lt;&gt;""),(I43-H43)/H43*100,"")</f>
        <v/>
      </c>
      <c r="P43">
        <f>IF(ISNUMBER(M43),ABS(M43),"")</f>
        <v/>
      </c>
    </row>
    <row r="44">
      <c r="L44">
        <f>IF(AND(H44&lt;&gt;"",I44&lt;&gt;""),I44-H44,"")</f>
        <v/>
      </c>
      <c r="M44">
        <f>IF(AND(H44&lt;&gt;"",H44&lt;&gt;0,I44&lt;&gt;""),(I44-H44)/H44*100,"")</f>
        <v/>
      </c>
      <c r="P44">
        <f>IF(ISNUMBER(M44),ABS(M44),"")</f>
        <v/>
      </c>
    </row>
    <row r="45">
      <c r="L45">
        <f>IF(AND(H45&lt;&gt;"",I45&lt;&gt;""),I45-H45,"")</f>
        <v/>
      </c>
      <c r="M45">
        <f>IF(AND(H45&lt;&gt;"",H45&lt;&gt;0,I45&lt;&gt;""),(I45-H45)/H45*100,"")</f>
        <v/>
      </c>
      <c r="P45">
        <f>IF(ISNUMBER(M45),ABS(M45),"")</f>
        <v/>
      </c>
    </row>
    <row r="46">
      <c r="L46">
        <f>IF(AND(H46&lt;&gt;"",I46&lt;&gt;""),I46-H46,"")</f>
        <v/>
      </c>
      <c r="M46">
        <f>IF(AND(H46&lt;&gt;"",H46&lt;&gt;0,I46&lt;&gt;""),(I46-H46)/H46*100,"")</f>
        <v/>
      </c>
      <c r="P46">
        <f>IF(ISNUMBER(M46),ABS(M46),"")</f>
        <v/>
      </c>
    </row>
    <row r="47">
      <c r="L47">
        <f>IF(AND(H47&lt;&gt;"",I47&lt;&gt;""),I47-H47,"")</f>
        <v/>
      </c>
      <c r="M47">
        <f>IF(AND(H47&lt;&gt;"",H47&lt;&gt;0,I47&lt;&gt;""),(I47-H47)/H47*100,"")</f>
        <v/>
      </c>
      <c r="P47">
        <f>IF(ISNUMBER(M47),ABS(M47),"")</f>
        <v/>
      </c>
    </row>
    <row r="48">
      <c r="L48">
        <f>IF(AND(H48&lt;&gt;"",I48&lt;&gt;""),I48-H48,"")</f>
        <v/>
      </c>
      <c r="M48">
        <f>IF(AND(H48&lt;&gt;"",H48&lt;&gt;0,I48&lt;&gt;""),(I48-H48)/H48*100,"")</f>
        <v/>
      </c>
      <c r="P48">
        <f>IF(ISNUMBER(M48),ABS(M48),"")</f>
        <v/>
      </c>
    </row>
    <row r="49">
      <c r="L49">
        <f>IF(AND(H49&lt;&gt;"",I49&lt;&gt;""),I49-H49,"")</f>
        <v/>
      </c>
      <c r="M49">
        <f>IF(AND(H49&lt;&gt;"",H49&lt;&gt;0,I49&lt;&gt;""),(I49-H49)/H49*100,"")</f>
        <v/>
      </c>
      <c r="P49">
        <f>IF(ISNUMBER(M49),ABS(M49),"")</f>
        <v/>
      </c>
    </row>
    <row r="50">
      <c r="L50">
        <f>IF(AND(H50&lt;&gt;"",I50&lt;&gt;""),I50-H50,"")</f>
        <v/>
      </c>
      <c r="M50">
        <f>IF(AND(H50&lt;&gt;"",H50&lt;&gt;0,I50&lt;&gt;""),(I50-H50)/H50*100,"")</f>
        <v/>
      </c>
      <c r="P50">
        <f>IF(ISNUMBER(M50),ABS(M50),"")</f>
        <v/>
      </c>
    </row>
    <row r="51">
      <c r="L51">
        <f>IF(AND(H51&lt;&gt;"",I51&lt;&gt;""),I51-H51,"")</f>
        <v/>
      </c>
      <c r="M51">
        <f>IF(AND(H51&lt;&gt;"",H51&lt;&gt;0,I51&lt;&gt;""),(I51-H51)/H51*100,"")</f>
        <v/>
      </c>
      <c r="P51">
        <f>IF(ISNUMBER(M51),ABS(M51),"")</f>
        <v/>
      </c>
    </row>
    <row r="52">
      <c r="L52">
        <f>IF(AND(H52&lt;&gt;"",I52&lt;&gt;""),I52-H52,"")</f>
        <v/>
      </c>
      <c r="M52">
        <f>IF(AND(H52&lt;&gt;"",H52&lt;&gt;0,I52&lt;&gt;""),(I52-H52)/H52*100,"")</f>
        <v/>
      </c>
      <c r="P52">
        <f>IF(ISNUMBER(M52),ABS(M52),"")</f>
        <v/>
      </c>
    </row>
    <row r="53">
      <c r="L53">
        <f>IF(AND(H53&lt;&gt;"",I53&lt;&gt;""),I53-H53,"")</f>
        <v/>
      </c>
      <c r="M53">
        <f>IF(AND(H53&lt;&gt;"",H53&lt;&gt;0,I53&lt;&gt;""),(I53-H53)/H53*100,"")</f>
        <v/>
      </c>
      <c r="P53">
        <f>IF(ISNUMBER(M53),ABS(M53),"")</f>
        <v/>
      </c>
    </row>
    <row r="54">
      <c r="L54">
        <f>IF(AND(H54&lt;&gt;"",I54&lt;&gt;""),I54-H54,"")</f>
        <v/>
      </c>
      <c r="M54">
        <f>IF(AND(H54&lt;&gt;"",H54&lt;&gt;0,I54&lt;&gt;""),(I54-H54)/H54*100,"")</f>
        <v/>
      </c>
      <c r="P54">
        <f>IF(ISNUMBER(M54),ABS(M54),"")</f>
        <v/>
      </c>
    </row>
    <row r="55">
      <c r="L55">
        <f>IF(AND(H55&lt;&gt;"",I55&lt;&gt;""),I55-H55,"")</f>
        <v/>
      </c>
      <c r="M55">
        <f>IF(AND(H55&lt;&gt;"",H55&lt;&gt;0,I55&lt;&gt;""),(I55-H55)/H55*100,"")</f>
        <v/>
      </c>
      <c r="P55">
        <f>IF(ISNUMBER(M55),ABS(M55),"")</f>
        <v/>
      </c>
    </row>
    <row r="56">
      <c r="L56">
        <f>IF(AND(H56&lt;&gt;"",I56&lt;&gt;""),I56-H56,"")</f>
        <v/>
      </c>
      <c r="M56">
        <f>IF(AND(H56&lt;&gt;"",H56&lt;&gt;0,I56&lt;&gt;""),(I56-H56)/H56*100,"")</f>
        <v/>
      </c>
      <c r="P56">
        <f>IF(ISNUMBER(M56),ABS(M56),"")</f>
        <v/>
      </c>
    </row>
    <row r="57">
      <c r="L57">
        <f>IF(AND(H57&lt;&gt;"",I57&lt;&gt;""),I57-H57,"")</f>
        <v/>
      </c>
      <c r="M57">
        <f>IF(AND(H57&lt;&gt;"",H57&lt;&gt;0,I57&lt;&gt;""),(I57-H57)/H57*100,"")</f>
        <v/>
      </c>
      <c r="P57">
        <f>IF(ISNUMBER(M57),ABS(M57),"")</f>
        <v/>
      </c>
    </row>
    <row r="58">
      <c r="L58">
        <f>IF(AND(H58&lt;&gt;"",I58&lt;&gt;""),I58-H58,"")</f>
        <v/>
      </c>
      <c r="M58">
        <f>IF(AND(H58&lt;&gt;"",H58&lt;&gt;0,I58&lt;&gt;""),(I58-H58)/H58*100,"")</f>
        <v/>
      </c>
      <c r="P58">
        <f>IF(ISNUMBER(M58),ABS(M58),"")</f>
        <v/>
      </c>
    </row>
    <row r="59">
      <c r="L59">
        <f>IF(AND(H59&lt;&gt;"",I59&lt;&gt;""),I59-H59,"")</f>
        <v/>
      </c>
      <c r="M59">
        <f>IF(AND(H59&lt;&gt;"",H59&lt;&gt;0,I59&lt;&gt;""),(I59-H59)/H59*100,"")</f>
        <v/>
      </c>
      <c r="P59">
        <f>IF(ISNUMBER(M59),ABS(M59),"")</f>
        <v/>
      </c>
    </row>
    <row r="60">
      <c r="L60">
        <f>IF(AND(H60&lt;&gt;"",I60&lt;&gt;""),I60-H60,"")</f>
        <v/>
      </c>
      <c r="M60">
        <f>IF(AND(H60&lt;&gt;"",H60&lt;&gt;0,I60&lt;&gt;""),(I60-H60)/H60*100,"")</f>
        <v/>
      </c>
      <c r="P60">
        <f>IF(ISNUMBER(M60),ABS(M60),"")</f>
        <v/>
      </c>
    </row>
    <row r="61">
      <c r="L61">
        <f>IF(AND(H61&lt;&gt;"",I61&lt;&gt;""),I61-H61,"")</f>
        <v/>
      </c>
      <c r="M61">
        <f>IF(AND(H61&lt;&gt;"",H61&lt;&gt;0,I61&lt;&gt;""),(I61-H61)/H61*100,"")</f>
        <v/>
      </c>
      <c r="P61">
        <f>IF(ISNUMBER(M61),ABS(M61),"")</f>
        <v/>
      </c>
    </row>
    <row r="62">
      <c r="L62">
        <f>IF(AND(H62&lt;&gt;"",I62&lt;&gt;""),I62-H62,"")</f>
        <v/>
      </c>
      <c r="M62">
        <f>IF(AND(H62&lt;&gt;"",H62&lt;&gt;0,I62&lt;&gt;""),(I62-H62)/H62*100,"")</f>
        <v/>
      </c>
      <c r="P62">
        <f>IF(ISNUMBER(M62),ABS(M62),"")</f>
        <v/>
      </c>
    </row>
    <row r="63">
      <c r="L63">
        <f>IF(AND(H63&lt;&gt;"",I63&lt;&gt;""),I63-H63,"")</f>
        <v/>
      </c>
      <c r="M63">
        <f>IF(AND(H63&lt;&gt;"",H63&lt;&gt;0,I63&lt;&gt;""),(I63-H63)/H63*100,"")</f>
        <v/>
      </c>
      <c r="P63">
        <f>IF(ISNUMBER(M63),ABS(M63),"")</f>
        <v/>
      </c>
    </row>
    <row r="64">
      <c r="L64">
        <f>IF(AND(H64&lt;&gt;"",I64&lt;&gt;""),I64-H64,"")</f>
        <v/>
      </c>
      <c r="M64">
        <f>IF(AND(H64&lt;&gt;"",H64&lt;&gt;0,I64&lt;&gt;""),(I64-H64)/H64*100,"")</f>
        <v/>
      </c>
      <c r="P64">
        <f>IF(ISNUMBER(M64),ABS(M64),"")</f>
        <v/>
      </c>
    </row>
    <row r="65">
      <c r="L65">
        <f>IF(AND(H65&lt;&gt;"",I65&lt;&gt;""),I65-H65,"")</f>
        <v/>
      </c>
      <c r="M65">
        <f>IF(AND(H65&lt;&gt;"",H65&lt;&gt;0,I65&lt;&gt;""),(I65-H65)/H65*100,"")</f>
        <v/>
      </c>
      <c r="P65">
        <f>IF(ISNUMBER(M65),ABS(M65),"")</f>
        <v/>
      </c>
    </row>
    <row r="66">
      <c r="L66">
        <f>IF(AND(H66&lt;&gt;"",I66&lt;&gt;""),I66-H66,"")</f>
        <v/>
      </c>
      <c r="M66">
        <f>IF(AND(H66&lt;&gt;"",H66&lt;&gt;0,I66&lt;&gt;""),(I66-H66)/H66*100,"")</f>
        <v/>
      </c>
      <c r="P66">
        <f>IF(ISNUMBER(M66),ABS(M66),"")</f>
        <v/>
      </c>
    </row>
    <row r="67">
      <c r="L67">
        <f>IF(AND(H67&lt;&gt;"",I67&lt;&gt;""),I67-H67,"")</f>
        <v/>
      </c>
      <c r="M67">
        <f>IF(AND(H67&lt;&gt;"",H67&lt;&gt;0,I67&lt;&gt;""),(I67-H67)/H67*100,"")</f>
        <v/>
      </c>
      <c r="P67">
        <f>IF(ISNUMBER(M67),ABS(M67),"")</f>
        <v/>
      </c>
    </row>
    <row r="68">
      <c r="L68">
        <f>IF(AND(H68&lt;&gt;"",I68&lt;&gt;""),I68-H68,"")</f>
        <v/>
      </c>
      <c r="M68">
        <f>IF(AND(H68&lt;&gt;"",H68&lt;&gt;0,I68&lt;&gt;""),(I68-H68)/H68*100,"")</f>
        <v/>
      </c>
      <c r="P68">
        <f>IF(ISNUMBER(M68),ABS(M68),"")</f>
        <v/>
      </c>
    </row>
    <row r="69">
      <c r="L69">
        <f>IF(AND(H69&lt;&gt;"",I69&lt;&gt;""),I69-H69,"")</f>
        <v/>
      </c>
      <c r="M69">
        <f>IF(AND(H69&lt;&gt;"",H69&lt;&gt;0,I69&lt;&gt;""),(I69-H69)/H69*100,"")</f>
        <v/>
      </c>
      <c r="P69">
        <f>IF(ISNUMBER(M69),ABS(M69),"")</f>
        <v/>
      </c>
    </row>
    <row r="70">
      <c r="L70">
        <f>IF(AND(H70&lt;&gt;"",I70&lt;&gt;""),I70-H70,"")</f>
        <v/>
      </c>
      <c r="M70">
        <f>IF(AND(H70&lt;&gt;"",H70&lt;&gt;0,I70&lt;&gt;""),(I70-H70)/H70*100,"")</f>
        <v/>
      </c>
      <c r="P70">
        <f>IF(ISNUMBER(M70),ABS(M70),"")</f>
        <v/>
      </c>
    </row>
    <row r="71">
      <c r="L71">
        <f>IF(AND(H71&lt;&gt;"",I71&lt;&gt;""),I71-H71,"")</f>
        <v/>
      </c>
      <c r="M71">
        <f>IF(AND(H71&lt;&gt;"",H71&lt;&gt;0,I71&lt;&gt;""),(I71-H71)/H71*100,"")</f>
        <v/>
      </c>
      <c r="P71">
        <f>IF(ISNUMBER(M71),ABS(M71),"")</f>
        <v/>
      </c>
    </row>
    <row r="72">
      <c r="L72">
        <f>IF(AND(H72&lt;&gt;"",I72&lt;&gt;""),I72-H72,"")</f>
        <v/>
      </c>
      <c r="M72">
        <f>IF(AND(H72&lt;&gt;"",H72&lt;&gt;0,I72&lt;&gt;""),(I72-H72)/H72*100,"")</f>
        <v/>
      </c>
      <c r="P72">
        <f>IF(ISNUMBER(M72),ABS(M72),"")</f>
        <v/>
      </c>
    </row>
    <row r="73">
      <c r="L73">
        <f>IF(AND(H73&lt;&gt;"",I73&lt;&gt;""),I73-H73,"")</f>
        <v/>
      </c>
      <c r="M73">
        <f>IF(AND(H73&lt;&gt;"",H73&lt;&gt;0,I73&lt;&gt;""),(I73-H73)/H73*100,"")</f>
        <v/>
      </c>
      <c r="P73">
        <f>IF(ISNUMBER(M73),ABS(M73),"")</f>
        <v/>
      </c>
    </row>
    <row r="74">
      <c r="L74">
        <f>IF(AND(H74&lt;&gt;"",I74&lt;&gt;""),I74-H74,"")</f>
        <v/>
      </c>
      <c r="M74">
        <f>IF(AND(H74&lt;&gt;"",H74&lt;&gt;0,I74&lt;&gt;""),(I74-H74)/H74*100,"")</f>
        <v/>
      </c>
      <c r="P74">
        <f>IF(ISNUMBER(M74),ABS(M74),"")</f>
        <v/>
      </c>
    </row>
    <row r="75">
      <c r="L75">
        <f>IF(AND(H75&lt;&gt;"",I75&lt;&gt;""),I75-H75,"")</f>
        <v/>
      </c>
      <c r="M75">
        <f>IF(AND(H75&lt;&gt;"",H75&lt;&gt;0,I75&lt;&gt;""),(I75-H75)/H75*100,"")</f>
        <v/>
      </c>
      <c r="P75">
        <f>IF(ISNUMBER(M75),ABS(M75),"")</f>
        <v/>
      </c>
    </row>
    <row r="76">
      <c r="L76">
        <f>IF(AND(H76&lt;&gt;"",I76&lt;&gt;""),I76-H76,"")</f>
        <v/>
      </c>
      <c r="M76">
        <f>IF(AND(H76&lt;&gt;"",H76&lt;&gt;0,I76&lt;&gt;""),(I76-H76)/H76*100,"")</f>
        <v/>
      </c>
      <c r="P76">
        <f>IF(ISNUMBER(M76),ABS(M76),"")</f>
        <v/>
      </c>
    </row>
    <row r="77">
      <c r="L77">
        <f>IF(AND(H77&lt;&gt;"",I77&lt;&gt;""),I77-H77,"")</f>
        <v/>
      </c>
      <c r="M77">
        <f>IF(AND(H77&lt;&gt;"",H77&lt;&gt;0,I77&lt;&gt;""),(I77-H77)/H77*100,"")</f>
        <v/>
      </c>
      <c r="P77">
        <f>IF(ISNUMBER(M77),ABS(M77),"")</f>
        <v/>
      </c>
    </row>
    <row r="78">
      <c r="L78">
        <f>IF(AND(H78&lt;&gt;"",I78&lt;&gt;""),I78-H78,"")</f>
        <v/>
      </c>
      <c r="M78">
        <f>IF(AND(H78&lt;&gt;"",H78&lt;&gt;0,I78&lt;&gt;""),(I78-H78)/H78*100,"")</f>
        <v/>
      </c>
      <c r="P78">
        <f>IF(ISNUMBER(M78),ABS(M78),"")</f>
        <v/>
      </c>
    </row>
    <row r="79">
      <c r="L79">
        <f>IF(AND(H79&lt;&gt;"",I79&lt;&gt;""),I79-H79,"")</f>
        <v/>
      </c>
      <c r="M79">
        <f>IF(AND(H79&lt;&gt;"",H79&lt;&gt;0,I79&lt;&gt;""),(I79-H79)/H79*100,"")</f>
        <v/>
      </c>
      <c r="P79">
        <f>IF(ISNUMBER(M79),ABS(M79),"")</f>
        <v/>
      </c>
    </row>
    <row r="80">
      <c r="L80">
        <f>IF(AND(H80&lt;&gt;"",I80&lt;&gt;""),I80-H80,"")</f>
        <v/>
      </c>
      <c r="M80">
        <f>IF(AND(H80&lt;&gt;"",H80&lt;&gt;0,I80&lt;&gt;""),(I80-H80)/H80*100,"")</f>
        <v/>
      </c>
      <c r="P80">
        <f>IF(ISNUMBER(M80),ABS(M80),"")</f>
        <v/>
      </c>
    </row>
    <row r="81">
      <c r="L81">
        <f>IF(AND(H81&lt;&gt;"",I81&lt;&gt;""),I81-H81,"")</f>
        <v/>
      </c>
      <c r="M81">
        <f>IF(AND(H81&lt;&gt;"",H81&lt;&gt;0,I81&lt;&gt;""),(I81-H81)/H81*100,"")</f>
        <v/>
      </c>
      <c r="P81">
        <f>IF(ISNUMBER(M81),ABS(M81),"")</f>
        <v/>
      </c>
    </row>
    <row r="82">
      <c r="L82">
        <f>IF(AND(H82&lt;&gt;"",I82&lt;&gt;""),I82-H82,"")</f>
        <v/>
      </c>
      <c r="M82">
        <f>IF(AND(H82&lt;&gt;"",H82&lt;&gt;0,I82&lt;&gt;""),(I82-H82)/H82*100,"")</f>
        <v/>
      </c>
      <c r="P82">
        <f>IF(ISNUMBER(M82),ABS(M82),"")</f>
        <v/>
      </c>
    </row>
    <row r="83">
      <c r="L83">
        <f>IF(AND(H83&lt;&gt;"",I83&lt;&gt;""),I83-H83,"")</f>
        <v/>
      </c>
      <c r="M83">
        <f>IF(AND(H83&lt;&gt;"",H83&lt;&gt;0,I83&lt;&gt;""),(I83-H83)/H83*100,"")</f>
        <v/>
      </c>
      <c r="P83">
        <f>IF(ISNUMBER(M83),ABS(M83),"")</f>
        <v/>
      </c>
    </row>
    <row r="84">
      <c r="L84">
        <f>IF(AND(H84&lt;&gt;"",I84&lt;&gt;""),I84-H84,"")</f>
        <v/>
      </c>
      <c r="M84">
        <f>IF(AND(H84&lt;&gt;"",H84&lt;&gt;0,I84&lt;&gt;""),(I84-H84)/H84*100,"")</f>
        <v/>
      </c>
      <c r="P84">
        <f>IF(ISNUMBER(M84),ABS(M84),"")</f>
        <v/>
      </c>
    </row>
    <row r="85">
      <c r="L85">
        <f>IF(AND(H85&lt;&gt;"",I85&lt;&gt;""),I85-H85,"")</f>
        <v/>
      </c>
      <c r="M85">
        <f>IF(AND(H85&lt;&gt;"",H85&lt;&gt;0,I85&lt;&gt;""),(I85-H85)/H85*100,"")</f>
        <v/>
      </c>
      <c r="P85">
        <f>IF(ISNUMBER(M85),ABS(M85),"")</f>
        <v/>
      </c>
    </row>
    <row r="86">
      <c r="L86">
        <f>IF(AND(H86&lt;&gt;"",I86&lt;&gt;""),I86-H86,"")</f>
        <v/>
      </c>
      <c r="M86">
        <f>IF(AND(H86&lt;&gt;"",H86&lt;&gt;0,I86&lt;&gt;""),(I86-H86)/H86*100,"")</f>
        <v/>
      </c>
      <c r="P86">
        <f>IF(ISNUMBER(M86),ABS(M86),"")</f>
        <v/>
      </c>
    </row>
    <row r="87">
      <c r="L87">
        <f>IF(AND(H87&lt;&gt;"",I87&lt;&gt;""),I87-H87,"")</f>
        <v/>
      </c>
      <c r="M87">
        <f>IF(AND(H87&lt;&gt;"",H87&lt;&gt;0,I87&lt;&gt;""),(I87-H87)/H87*100,"")</f>
        <v/>
      </c>
      <c r="P87">
        <f>IF(ISNUMBER(M87),ABS(M87),"")</f>
        <v/>
      </c>
    </row>
    <row r="88">
      <c r="L88">
        <f>IF(AND(H88&lt;&gt;"",I88&lt;&gt;""),I88-H88,"")</f>
        <v/>
      </c>
      <c r="M88">
        <f>IF(AND(H88&lt;&gt;"",H88&lt;&gt;0,I88&lt;&gt;""),(I88-H88)/H88*100,"")</f>
        <v/>
      </c>
      <c r="P88">
        <f>IF(ISNUMBER(M88),ABS(M88),"")</f>
        <v/>
      </c>
    </row>
    <row r="89">
      <c r="L89">
        <f>IF(AND(H89&lt;&gt;"",I89&lt;&gt;""),I89-H89,"")</f>
        <v/>
      </c>
      <c r="M89">
        <f>IF(AND(H89&lt;&gt;"",H89&lt;&gt;0,I89&lt;&gt;""),(I89-H89)/H89*100,"")</f>
        <v/>
      </c>
      <c r="P89">
        <f>IF(ISNUMBER(M89),ABS(M89),"")</f>
        <v/>
      </c>
    </row>
    <row r="90">
      <c r="L90">
        <f>IF(AND(H90&lt;&gt;"",I90&lt;&gt;""),I90-H90,"")</f>
        <v/>
      </c>
      <c r="M90">
        <f>IF(AND(H90&lt;&gt;"",H90&lt;&gt;0,I90&lt;&gt;""),(I90-H90)/H90*100,"")</f>
        <v/>
      </c>
      <c r="P90">
        <f>IF(ISNUMBER(M90),ABS(M90),"")</f>
        <v/>
      </c>
    </row>
    <row r="91">
      <c r="L91">
        <f>IF(AND(H91&lt;&gt;"",I91&lt;&gt;""),I91-H91,"")</f>
        <v/>
      </c>
      <c r="M91">
        <f>IF(AND(H91&lt;&gt;"",H91&lt;&gt;0,I91&lt;&gt;""),(I91-H91)/H91*100,"")</f>
        <v/>
      </c>
      <c r="P91">
        <f>IF(ISNUMBER(M91),ABS(M91),"")</f>
        <v/>
      </c>
    </row>
    <row r="92">
      <c r="L92">
        <f>IF(AND(H92&lt;&gt;"",I92&lt;&gt;""),I92-H92,"")</f>
        <v/>
      </c>
      <c r="M92">
        <f>IF(AND(H92&lt;&gt;"",H92&lt;&gt;0,I92&lt;&gt;""),(I92-H92)/H92*100,"")</f>
        <v/>
      </c>
      <c r="P92">
        <f>IF(ISNUMBER(M92),ABS(M92),"")</f>
        <v/>
      </c>
    </row>
    <row r="93">
      <c r="L93">
        <f>IF(AND(H93&lt;&gt;"",I93&lt;&gt;""),I93-H93,"")</f>
        <v/>
      </c>
      <c r="M93">
        <f>IF(AND(H93&lt;&gt;"",H93&lt;&gt;0,I93&lt;&gt;""),(I93-H93)/H93*100,"")</f>
        <v/>
      </c>
      <c r="P93">
        <f>IF(ISNUMBER(M93),ABS(M93),"")</f>
        <v/>
      </c>
    </row>
    <row r="94">
      <c r="L94">
        <f>IF(AND(H94&lt;&gt;"",I94&lt;&gt;""),I94-H94,"")</f>
        <v/>
      </c>
      <c r="M94">
        <f>IF(AND(H94&lt;&gt;"",H94&lt;&gt;0,I94&lt;&gt;""),(I94-H94)/H94*100,"")</f>
        <v/>
      </c>
      <c r="P94">
        <f>IF(ISNUMBER(M94),ABS(M94),"")</f>
        <v/>
      </c>
    </row>
    <row r="95">
      <c r="L95">
        <f>IF(AND(H95&lt;&gt;"",I95&lt;&gt;""),I95-H95,"")</f>
        <v/>
      </c>
      <c r="M95">
        <f>IF(AND(H95&lt;&gt;"",H95&lt;&gt;0,I95&lt;&gt;""),(I95-H95)/H95*100,"")</f>
        <v/>
      </c>
      <c r="P95">
        <f>IF(ISNUMBER(M95),ABS(M95),"")</f>
        <v/>
      </c>
    </row>
    <row r="96">
      <c r="L96">
        <f>IF(AND(H96&lt;&gt;"",I96&lt;&gt;""),I96-H96,"")</f>
        <v/>
      </c>
      <c r="M96">
        <f>IF(AND(H96&lt;&gt;"",H96&lt;&gt;0,I96&lt;&gt;""),(I96-H96)/H96*100,"")</f>
        <v/>
      </c>
      <c r="P96">
        <f>IF(ISNUMBER(M96),ABS(M96),"")</f>
        <v/>
      </c>
    </row>
    <row r="97">
      <c r="L97">
        <f>IF(AND(H97&lt;&gt;"",I97&lt;&gt;""),I97-H97,"")</f>
        <v/>
      </c>
      <c r="M97">
        <f>IF(AND(H97&lt;&gt;"",H97&lt;&gt;0,I97&lt;&gt;""),(I97-H97)/H97*100,"")</f>
        <v/>
      </c>
      <c r="P97">
        <f>IF(ISNUMBER(M97),ABS(M97),"")</f>
        <v/>
      </c>
    </row>
    <row r="98">
      <c r="L98">
        <f>IF(AND(H98&lt;&gt;"",I98&lt;&gt;""),I98-H98,"")</f>
        <v/>
      </c>
      <c r="M98">
        <f>IF(AND(H98&lt;&gt;"",H98&lt;&gt;0,I98&lt;&gt;""),(I98-H98)/H98*100,"")</f>
        <v/>
      </c>
      <c r="P98">
        <f>IF(ISNUMBER(M98),ABS(M98),"")</f>
        <v/>
      </c>
    </row>
    <row r="99">
      <c r="L99">
        <f>IF(AND(H99&lt;&gt;"",I99&lt;&gt;""),I99-H99,"")</f>
        <v/>
      </c>
      <c r="M99">
        <f>IF(AND(H99&lt;&gt;"",H99&lt;&gt;0,I99&lt;&gt;""),(I99-H99)/H99*100,"")</f>
        <v/>
      </c>
      <c r="P99">
        <f>IF(ISNUMBER(M99),ABS(M99),"")</f>
        <v/>
      </c>
    </row>
    <row r="100">
      <c r="L100">
        <f>IF(AND(H100&lt;&gt;"",I100&lt;&gt;""),I100-H100,"")</f>
        <v/>
      </c>
      <c r="M100">
        <f>IF(AND(H100&lt;&gt;"",H100&lt;&gt;0,I100&lt;&gt;""),(I100-H100)/H100*100,"")</f>
        <v/>
      </c>
      <c r="P100">
        <f>IF(ISNUMBER(M100),ABS(M100),"")</f>
        <v/>
      </c>
    </row>
    <row r="101">
      <c r="L101">
        <f>IF(AND(H101&lt;&gt;"",I101&lt;&gt;""),I101-H101,"")</f>
        <v/>
      </c>
      <c r="M101">
        <f>IF(AND(H101&lt;&gt;"",H101&lt;&gt;0,I101&lt;&gt;""),(I101-H101)/H101*100,"")</f>
        <v/>
      </c>
      <c r="P101">
        <f>IF(ISNUMBER(M101),ABS(M101),"")</f>
        <v/>
      </c>
    </row>
    <row r="102">
      <c r="L102">
        <f>IF(AND(H102&lt;&gt;"",I102&lt;&gt;""),I102-H102,"")</f>
        <v/>
      </c>
      <c r="M102">
        <f>IF(AND(H102&lt;&gt;"",H102&lt;&gt;0,I102&lt;&gt;""),(I102-H102)/H102*100,"")</f>
        <v/>
      </c>
      <c r="P102">
        <f>IF(ISNUMBER(M102),ABS(M102),"")</f>
        <v/>
      </c>
    </row>
    <row r="103">
      <c r="L103">
        <f>IF(AND(H103&lt;&gt;"",I103&lt;&gt;""),I103-H103,"")</f>
        <v/>
      </c>
      <c r="M103">
        <f>IF(AND(H103&lt;&gt;"",H103&lt;&gt;0,I103&lt;&gt;""),(I103-H103)/H103*100,"")</f>
        <v/>
      </c>
      <c r="P103">
        <f>IF(ISNUMBER(M103),ABS(M103),"")</f>
        <v/>
      </c>
    </row>
    <row r="104">
      <c r="L104">
        <f>IF(AND(H104&lt;&gt;"",I104&lt;&gt;""),I104-H104,"")</f>
        <v/>
      </c>
      <c r="M104">
        <f>IF(AND(H104&lt;&gt;"",H104&lt;&gt;0,I104&lt;&gt;""),(I104-H104)/H104*100,"")</f>
        <v/>
      </c>
      <c r="P104">
        <f>IF(ISNUMBER(M104),ABS(M104),"")</f>
        <v/>
      </c>
    </row>
    <row r="105">
      <c r="L105">
        <f>IF(AND(H105&lt;&gt;"",I105&lt;&gt;""),I105-H105,"")</f>
        <v/>
      </c>
      <c r="M105">
        <f>IF(AND(H105&lt;&gt;"",H105&lt;&gt;0,I105&lt;&gt;""),(I105-H105)/H105*100,"")</f>
        <v/>
      </c>
      <c r="P105">
        <f>IF(ISNUMBER(M105),ABS(M105),"")</f>
        <v/>
      </c>
    </row>
    <row r="106">
      <c r="L106">
        <f>IF(AND(H106&lt;&gt;"",I106&lt;&gt;""),I106-H106,"")</f>
        <v/>
      </c>
      <c r="M106">
        <f>IF(AND(H106&lt;&gt;"",H106&lt;&gt;0,I106&lt;&gt;""),(I106-H106)/H106*100,"")</f>
        <v/>
      </c>
      <c r="P106">
        <f>IF(ISNUMBER(M106),ABS(M106),"")</f>
        <v/>
      </c>
    </row>
    <row r="107">
      <c r="L107">
        <f>IF(AND(H107&lt;&gt;"",I107&lt;&gt;""),I107-H107,"")</f>
        <v/>
      </c>
      <c r="M107">
        <f>IF(AND(H107&lt;&gt;"",H107&lt;&gt;0,I107&lt;&gt;""),(I107-H107)/H107*100,"")</f>
        <v/>
      </c>
      <c r="P107">
        <f>IF(ISNUMBER(M107),ABS(M107),"")</f>
        <v/>
      </c>
    </row>
    <row r="108">
      <c r="L108">
        <f>IF(AND(H108&lt;&gt;"",I108&lt;&gt;""),I108-H108,"")</f>
        <v/>
      </c>
      <c r="M108">
        <f>IF(AND(H108&lt;&gt;"",H108&lt;&gt;0,I108&lt;&gt;""),(I108-H108)/H108*100,"")</f>
        <v/>
      </c>
      <c r="P108">
        <f>IF(ISNUMBER(M108),ABS(M108),"")</f>
        <v/>
      </c>
    </row>
    <row r="109">
      <c r="L109">
        <f>IF(AND(H109&lt;&gt;"",I109&lt;&gt;""),I109-H109,"")</f>
        <v/>
      </c>
      <c r="M109">
        <f>IF(AND(H109&lt;&gt;"",H109&lt;&gt;0,I109&lt;&gt;""),(I109-H109)/H109*100,"")</f>
        <v/>
      </c>
      <c r="P109">
        <f>IF(ISNUMBER(M109),ABS(M109),"")</f>
        <v/>
      </c>
    </row>
    <row r="110">
      <c r="L110">
        <f>IF(AND(H110&lt;&gt;"",I110&lt;&gt;""),I110-H110,"")</f>
        <v/>
      </c>
      <c r="M110">
        <f>IF(AND(H110&lt;&gt;"",H110&lt;&gt;0,I110&lt;&gt;""),(I110-H110)/H110*100,"")</f>
        <v/>
      </c>
      <c r="P110">
        <f>IF(ISNUMBER(M110),ABS(M110),"")</f>
        <v/>
      </c>
    </row>
    <row r="111">
      <c r="L111">
        <f>IF(AND(H111&lt;&gt;"",I111&lt;&gt;""),I111-H111,"")</f>
        <v/>
      </c>
      <c r="M111">
        <f>IF(AND(H111&lt;&gt;"",H111&lt;&gt;0,I111&lt;&gt;""),(I111-H111)/H111*100,"")</f>
        <v/>
      </c>
      <c r="P111">
        <f>IF(ISNUMBER(M111),ABS(M111),"")</f>
        <v/>
      </c>
    </row>
    <row r="112">
      <c r="L112">
        <f>IF(AND(H112&lt;&gt;"",I112&lt;&gt;""),I112-H112,"")</f>
        <v/>
      </c>
      <c r="M112">
        <f>IF(AND(H112&lt;&gt;"",H112&lt;&gt;0,I112&lt;&gt;""),(I112-H112)/H112*100,"")</f>
        <v/>
      </c>
      <c r="P112">
        <f>IF(ISNUMBER(M112),ABS(M112),"")</f>
        <v/>
      </c>
    </row>
    <row r="113">
      <c r="L113">
        <f>IF(AND(H113&lt;&gt;"",I113&lt;&gt;""),I113-H113,"")</f>
        <v/>
      </c>
      <c r="M113">
        <f>IF(AND(H113&lt;&gt;"",H113&lt;&gt;0,I113&lt;&gt;""),(I113-H113)/H113*100,"")</f>
        <v/>
      </c>
      <c r="P113">
        <f>IF(ISNUMBER(M113),ABS(M113),"")</f>
        <v/>
      </c>
    </row>
    <row r="114">
      <c r="L114">
        <f>IF(AND(H114&lt;&gt;"",I114&lt;&gt;""),I114-H114,"")</f>
        <v/>
      </c>
      <c r="M114">
        <f>IF(AND(H114&lt;&gt;"",H114&lt;&gt;0,I114&lt;&gt;""),(I114-H114)/H114*100,"")</f>
        <v/>
      </c>
      <c r="P114">
        <f>IF(ISNUMBER(M114),ABS(M114),"")</f>
        <v/>
      </c>
    </row>
    <row r="115">
      <c r="L115">
        <f>IF(AND(H115&lt;&gt;"",I115&lt;&gt;""),I115-H115,"")</f>
        <v/>
      </c>
      <c r="M115">
        <f>IF(AND(H115&lt;&gt;"",H115&lt;&gt;0,I115&lt;&gt;""),(I115-H115)/H115*100,"")</f>
        <v/>
      </c>
      <c r="P115">
        <f>IF(ISNUMBER(M115),ABS(M115),"")</f>
        <v/>
      </c>
    </row>
    <row r="116">
      <c r="L116">
        <f>IF(AND(H116&lt;&gt;"",I116&lt;&gt;""),I116-H116,"")</f>
        <v/>
      </c>
      <c r="M116">
        <f>IF(AND(H116&lt;&gt;"",H116&lt;&gt;0,I116&lt;&gt;""),(I116-H116)/H116*100,"")</f>
        <v/>
      </c>
      <c r="P116">
        <f>IF(ISNUMBER(M116),ABS(M116),"")</f>
        <v/>
      </c>
    </row>
    <row r="117">
      <c r="L117">
        <f>IF(AND(H117&lt;&gt;"",I117&lt;&gt;""),I117-H117,"")</f>
        <v/>
      </c>
      <c r="M117">
        <f>IF(AND(H117&lt;&gt;"",H117&lt;&gt;0,I117&lt;&gt;""),(I117-H117)/H117*100,"")</f>
        <v/>
      </c>
      <c r="P117">
        <f>IF(ISNUMBER(M117),ABS(M117),"")</f>
        <v/>
      </c>
    </row>
    <row r="118">
      <c r="L118">
        <f>IF(AND(H118&lt;&gt;"",I118&lt;&gt;""),I118-H118,"")</f>
        <v/>
      </c>
      <c r="M118">
        <f>IF(AND(H118&lt;&gt;"",H118&lt;&gt;0,I118&lt;&gt;""),(I118-H118)/H118*100,"")</f>
        <v/>
      </c>
      <c r="P118">
        <f>IF(ISNUMBER(M118),ABS(M118),"")</f>
        <v/>
      </c>
    </row>
    <row r="119">
      <c r="L119">
        <f>IF(AND(H119&lt;&gt;"",I119&lt;&gt;""),I119-H119,"")</f>
        <v/>
      </c>
      <c r="M119">
        <f>IF(AND(H119&lt;&gt;"",H119&lt;&gt;0,I119&lt;&gt;""),(I119-H119)/H119*100,"")</f>
        <v/>
      </c>
      <c r="P119">
        <f>IF(ISNUMBER(M119),ABS(M119),"")</f>
        <v/>
      </c>
    </row>
    <row r="120">
      <c r="L120">
        <f>IF(AND(H120&lt;&gt;"",I120&lt;&gt;""),I120-H120,"")</f>
        <v/>
      </c>
      <c r="M120">
        <f>IF(AND(H120&lt;&gt;"",H120&lt;&gt;0,I120&lt;&gt;""),(I120-H120)/H120*100,"")</f>
        <v/>
      </c>
      <c r="P120">
        <f>IF(ISNUMBER(M120),ABS(M120),"")</f>
        <v/>
      </c>
    </row>
    <row r="121">
      <c r="L121">
        <f>IF(AND(H121&lt;&gt;"",I121&lt;&gt;""),I121-H121,"")</f>
        <v/>
      </c>
      <c r="M121">
        <f>IF(AND(H121&lt;&gt;"",H121&lt;&gt;0,I121&lt;&gt;""),(I121-H121)/H121*100,"")</f>
        <v/>
      </c>
      <c r="P121">
        <f>IF(ISNUMBER(M121),ABS(M121),"")</f>
        <v/>
      </c>
    </row>
    <row r="122">
      <c r="L122">
        <f>IF(AND(H122&lt;&gt;"",I122&lt;&gt;""),I122-H122,"")</f>
        <v/>
      </c>
      <c r="M122">
        <f>IF(AND(H122&lt;&gt;"",H122&lt;&gt;0,I122&lt;&gt;""),(I122-H122)/H122*100,"")</f>
        <v/>
      </c>
      <c r="P122">
        <f>IF(ISNUMBER(M122),ABS(M122),"")</f>
        <v/>
      </c>
    </row>
    <row r="123">
      <c r="L123">
        <f>IF(AND(H123&lt;&gt;"",I123&lt;&gt;""),I123-H123,"")</f>
        <v/>
      </c>
      <c r="M123">
        <f>IF(AND(H123&lt;&gt;"",H123&lt;&gt;0,I123&lt;&gt;""),(I123-H123)/H123*100,"")</f>
        <v/>
      </c>
      <c r="P123">
        <f>IF(ISNUMBER(M123),ABS(M123),"")</f>
        <v/>
      </c>
    </row>
    <row r="124">
      <c r="L124">
        <f>IF(AND(H124&lt;&gt;"",I124&lt;&gt;""),I124-H124,"")</f>
        <v/>
      </c>
      <c r="M124">
        <f>IF(AND(H124&lt;&gt;"",H124&lt;&gt;0,I124&lt;&gt;""),(I124-H124)/H124*100,"")</f>
        <v/>
      </c>
      <c r="P124">
        <f>IF(ISNUMBER(M124),ABS(M124),"")</f>
        <v/>
      </c>
    </row>
    <row r="125">
      <c r="L125">
        <f>IF(AND(H125&lt;&gt;"",I125&lt;&gt;""),I125-H125,"")</f>
        <v/>
      </c>
      <c r="M125">
        <f>IF(AND(H125&lt;&gt;"",H125&lt;&gt;0,I125&lt;&gt;""),(I125-H125)/H125*100,"")</f>
        <v/>
      </c>
      <c r="P125">
        <f>IF(ISNUMBER(M125),ABS(M125),"")</f>
        <v/>
      </c>
    </row>
    <row r="126">
      <c r="L126">
        <f>IF(AND(H126&lt;&gt;"",I126&lt;&gt;""),I126-H126,"")</f>
        <v/>
      </c>
      <c r="M126">
        <f>IF(AND(H126&lt;&gt;"",H126&lt;&gt;0,I126&lt;&gt;""),(I126-H126)/H126*100,"")</f>
        <v/>
      </c>
      <c r="P126">
        <f>IF(ISNUMBER(M126),ABS(M126),"")</f>
        <v/>
      </c>
    </row>
    <row r="127">
      <c r="L127">
        <f>IF(AND(H127&lt;&gt;"",I127&lt;&gt;""),I127-H127,"")</f>
        <v/>
      </c>
      <c r="M127">
        <f>IF(AND(H127&lt;&gt;"",H127&lt;&gt;0,I127&lt;&gt;""),(I127-H127)/H127*100,"")</f>
        <v/>
      </c>
      <c r="P127">
        <f>IF(ISNUMBER(M127),ABS(M127),"")</f>
        <v/>
      </c>
    </row>
    <row r="128">
      <c r="L128">
        <f>IF(AND(H128&lt;&gt;"",I128&lt;&gt;""),I128-H128,"")</f>
        <v/>
      </c>
      <c r="M128">
        <f>IF(AND(H128&lt;&gt;"",H128&lt;&gt;0,I128&lt;&gt;""),(I128-H128)/H128*100,"")</f>
        <v/>
      </c>
      <c r="P128">
        <f>IF(ISNUMBER(M128),ABS(M128),"")</f>
        <v/>
      </c>
    </row>
    <row r="129">
      <c r="L129">
        <f>IF(AND(H129&lt;&gt;"",I129&lt;&gt;""),I129-H129,"")</f>
        <v/>
      </c>
      <c r="M129">
        <f>IF(AND(H129&lt;&gt;"",H129&lt;&gt;0,I129&lt;&gt;""),(I129-H129)/H129*100,"")</f>
        <v/>
      </c>
      <c r="P129">
        <f>IF(ISNUMBER(M129),ABS(M129),"")</f>
        <v/>
      </c>
    </row>
    <row r="130">
      <c r="L130">
        <f>IF(AND(H130&lt;&gt;"",I130&lt;&gt;""),I130-H130,"")</f>
        <v/>
      </c>
      <c r="M130">
        <f>IF(AND(H130&lt;&gt;"",H130&lt;&gt;0,I130&lt;&gt;""),(I130-H130)/H130*100,"")</f>
        <v/>
      </c>
      <c r="P130">
        <f>IF(ISNUMBER(M130),ABS(M130),"")</f>
        <v/>
      </c>
    </row>
    <row r="131">
      <c r="L131">
        <f>IF(AND(H131&lt;&gt;"",I131&lt;&gt;""),I131-H131,"")</f>
        <v/>
      </c>
      <c r="M131">
        <f>IF(AND(H131&lt;&gt;"",H131&lt;&gt;0,I131&lt;&gt;""),(I131-H131)/H131*100,"")</f>
        <v/>
      </c>
      <c r="P131">
        <f>IF(ISNUMBER(M131),ABS(M131),"")</f>
        <v/>
      </c>
    </row>
    <row r="132">
      <c r="L132">
        <f>IF(AND(H132&lt;&gt;"",I132&lt;&gt;""),I132-H132,"")</f>
        <v/>
      </c>
      <c r="M132">
        <f>IF(AND(H132&lt;&gt;"",H132&lt;&gt;0,I132&lt;&gt;""),(I132-H132)/H132*100,"")</f>
        <v/>
      </c>
      <c r="P132">
        <f>IF(ISNUMBER(M132),ABS(M132),"")</f>
        <v/>
      </c>
    </row>
    <row r="133">
      <c r="L133">
        <f>IF(AND(H133&lt;&gt;"",I133&lt;&gt;""),I133-H133,"")</f>
        <v/>
      </c>
      <c r="M133">
        <f>IF(AND(H133&lt;&gt;"",H133&lt;&gt;0,I133&lt;&gt;""),(I133-H133)/H133*100,"")</f>
        <v/>
      </c>
      <c r="P133">
        <f>IF(ISNUMBER(M133),ABS(M133),"")</f>
        <v/>
      </c>
    </row>
    <row r="134">
      <c r="L134">
        <f>IF(AND(H134&lt;&gt;"",I134&lt;&gt;""),I134-H134,"")</f>
        <v/>
      </c>
      <c r="M134">
        <f>IF(AND(H134&lt;&gt;"",H134&lt;&gt;0,I134&lt;&gt;""),(I134-H134)/H134*100,"")</f>
        <v/>
      </c>
      <c r="P134">
        <f>IF(ISNUMBER(M134),ABS(M134),"")</f>
        <v/>
      </c>
    </row>
    <row r="135">
      <c r="L135">
        <f>IF(AND(H135&lt;&gt;"",I135&lt;&gt;""),I135-H135,"")</f>
        <v/>
      </c>
      <c r="M135">
        <f>IF(AND(H135&lt;&gt;"",H135&lt;&gt;0,I135&lt;&gt;""),(I135-H135)/H135*100,"")</f>
        <v/>
      </c>
      <c r="P135">
        <f>IF(ISNUMBER(M135),ABS(M135),"")</f>
        <v/>
      </c>
    </row>
    <row r="136">
      <c r="L136">
        <f>IF(AND(H136&lt;&gt;"",I136&lt;&gt;""),I136-H136,"")</f>
        <v/>
      </c>
      <c r="M136">
        <f>IF(AND(H136&lt;&gt;"",H136&lt;&gt;0,I136&lt;&gt;""),(I136-H136)/H136*100,"")</f>
        <v/>
      </c>
      <c r="P136">
        <f>IF(ISNUMBER(M136),ABS(M136),"")</f>
        <v/>
      </c>
    </row>
    <row r="137">
      <c r="L137">
        <f>IF(AND(H137&lt;&gt;"",I137&lt;&gt;""),I137-H137,"")</f>
        <v/>
      </c>
      <c r="M137">
        <f>IF(AND(H137&lt;&gt;"",H137&lt;&gt;0,I137&lt;&gt;""),(I137-H137)/H137*100,"")</f>
        <v/>
      </c>
      <c r="P137">
        <f>IF(ISNUMBER(M137),ABS(M137),"")</f>
        <v/>
      </c>
    </row>
    <row r="138">
      <c r="L138">
        <f>IF(AND(H138&lt;&gt;"",I138&lt;&gt;""),I138-H138,"")</f>
        <v/>
      </c>
      <c r="M138">
        <f>IF(AND(H138&lt;&gt;"",H138&lt;&gt;0,I138&lt;&gt;""),(I138-H138)/H138*100,"")</f>
        <v/>
      </c>
      <c r="P138">
        <f>IF(ISNUMBER(M138),ABS(M138),"")</f>
        <v/>
      </c>
    </row>
    <row r="139">
      <c r="L139">
        <f>IF(AND(H139&lt;&gt;"",I139&lt;&gt;""),I139-H139,"")</f>
        <v/>
      </c>
      <c r="M139">
        <f>IF(AND(H139&lt;&gt;"",H139&lt;&gt;0,I139&lt;&gt;""),(I139-H139)/H139*100,"")</f>
        <v/>
      </c>
      <c r="P139">
        <f>IF(ISNUMBER(M139),ABS(M139),"")</f>
        <v/>
      </c>
    </row>
    <row r="140">
      <c r="L140">
        <f>IF(AND(H140&lt;&gt;"",I140&lt;&gt;""),I140-H140,"")</f>
        <v/>
      </c>
      <c r="M140">
        <f>IF(AND(H140&lt;&gt;"",H140&lt;&gt;0,I140&lt;&gt;""),(I140-H140)/H140*100,"")</f>
        <v/>
      </c>
      <c r="P140">
        <f>IF(ISNUMBER(M140),ABS(M140),"")</f>
        <v/>
      </c>
    </row>
    <row r="141">
      <c r="L141">
        <f>IF(AND(H141&lt;&gt;"",I141&lt;&gt;""),I141-H141,"")</f>
        <v/>
      </c>
      <c r="M141">
        <f>IF(AND(H141&lt;&gt;"",H141&lt;&gt;0,I141&lt;&gt;""),(I141-H141)/H141*100,"")</f>
        <v/>
      </c>
      <c r="P141">
        <f>IF(ISNUMBER(M141),ABS(M141),"")</f>
        <v/>
      </c>
    </row>
    <row r="142">
      <c r="L142">
        <f>IF(AND(H142&lt;&gt;"",I142&lt;&gt;""),I142-H142,"")</f>
        <v/>
      </c>
      <c r="M142">
        <f>IF(AND(H142&lt;&gt;"",H142&lt;&gt;0,I142&lt;&gt;""),(I142-H142)/H142*100,"")</f>
        <v/>
      </c>
      <c r="P142">
        <f>IF(ISNUMBER(M142),ABS(M142),"")</f>
        <v/>
      </c>
    </row>
    <row r="143">
      <c r="L143">
        <f>IF(AND(H143&lt;&gt;"",I143&lt;&gt;""),I143-H143,"")</f>
        <v/>
      </c>
      <c r="M143">
        <f>IF(AND(H143&lt;&gt;"",H143&lt;&gt;0,I143&lt;&gt;""),(I143-H143)/H143*100,"")</f>
        <v/>
      </c>
      <c r="P143">
        <f>IF(ISNUMBER(M143),ABS(M143),"")</f>
        <v/>
      </c>
    </row>
    <row r="144">
      <c r="L144">
        <f>IF(AND(H144&lt;&gt;"",I144&lt;&gt;""),I144-H144,"")</f>
        <v/>
      </c>
      <c r="M144">
        <f>IF(AND(H144&lt;&gt;"",H144&lt;&gt;0,I144&lt;&gt;""),(I144-H144)/H144*100,"")</f>
        <v/>
      </c>
      <c r="P144">
        <f>IF(ISNUMBER(M144),ABS(M144),"")</f>
        <v/>
      </c>
    </row>
    <row r="145">
      <c r="L145">
        <f>IF(AND(H145&lt;&gt;"",I145&lt;&gt;""),I145-H145,"")</f>
        <v/>
      </c>
      <c r="M145">
        <f>IF(AND(H145&lt;&gt;"",H145&lt;&gt;0,I145&lt;&gt;""),(I145-H145)/H145*100,"")</f>
        <v/>
      </c>
      <c r="P145">
        <f>IF(ISNUMBER(M145),ABS(M145),"")</f>
        <v/>
      </c>
    </row>
    <row r="146">
      <c r="L146">
        <f>IF(AND(H146&lt;&gt;"",I146&lt;&gt;""),I146-H146,"")</f>
        <v/>
      </c>
      <c r="M146">
        <f>IF(AND(H146&lt;&gt;"",H146&lt;&gt;0,I146&lt;&gt;""),(I146-H146)/H146*100,"")</f>
        <v/>
      </c>
      <c r="P146">
        <f>IF(ISNUMBER(M146),ABS(M146),"")</f>
        <v/>
      </c>
    </row>
    <row r="147">
      <c r="L147">
        <f>IF(AND(H147&lt;&gt;"",I147&lt;&gt;""),I147-H147,"")</f>
        <v/>
      </c>
      <c r="M147">
        <f>IF(AND(H147&lt;&gt;"",H147&lt;&gt;0,I147&lt;&gt;""),(I147-H147)/H147*100,"")</f>
        <v/>
      </c>
      <c r="P147">
        <f>IF(ISNUMBER(M147),ABS(M147),"")</f>
        <v/>
      </c>
    </row>
    <row r="148">
      <c r="L148">
        <f>IF(AND(H148&lt;&gt;"",I148&lt;&gt;""),I148-H148,"")</f>
        <v/>
      </c>
      <c r="M148">
        <f>IF(AND(H148&lt;&gt;"",H148&lt;&gt;0,I148&lt;&gt;""),(I148-H148)/H148*100,"")</f>
        <v/>
      </c>
      <c r="P148">
        <f>IF(ISNUMBER(M148),ABS(M148),"")</f>
        <v/>
      </c>
    </row>
    <row r="149">
      <c r="L149">
        <f>IF(AND(H149&lt;&gt;"",I149&lt;&gt;""),I149-H149,"")</f>
        <v/>
      </c>
      <c r="M149">
        <f>IF(AND(H149&lt;&gt;"",H149&lt;&gt;0,I149&lt;&gt;""),(I149-H149)/H149*100,"")</f>
        <v/>
      </c>
      <c r="P149">
        <f>IF(ISNUMBER(M149),ABS(M149),"")</f>
        <v/>
      </c>
    </row>
    <row r="150">
      <c r="L150">
        <f>IF(AND(H150&lt;&gt;"",I150&lt;&gt;""),I150-H150,"")</f>
        <v/>
      </c>
      <c r="M150">
        <f>IF(AND(H150&lt;&gt;"",H150&lt;&gt;0,I150&lt;&gt;""),(I150-H150)/H150*100,"")</f>
        <v/>
      </c>
      <c r="P150">
        <f>IF(ISNUMBER(M150),ABS(M150),"")</f>
        <v/>
      </c>
    </row>
    <row r="151">
      <c r="L151">
        <f>IF(AND(H151&lt;&gt;"",I151&lt;&gt;""),I151-H151,"")</f>
        <v/>
      </c>
      <c r="M151">
        <f>IF(AND(H151&lt;&gt;"",H151&lt;&gt;0,I151&lt;&gt;""),(I151-H151)/H151*100,"")</f>
        <v/>
      </c>
      <c r="P151">
        <f>IF(ISNUMBER(M151),ABS(M151),"")</f>
        <v/>
      </c>
    </row>
    <row r="152">
      <c r="L152">
        <f>IF(AND(H152&lt;&gt;"",I152&lt;&gt;""),I152-H152,"")</f>
        <v/>
      </c>
      <c r="M152">
        <f>IF(AND(H152&lt;&gt;"",H152&lt;&gt;0,I152&lt;&gt;""),(I152-H152)/H152*100,"")</f>
        <v/>
      </c>
      <c r="P152">
        <f>IF(ISNUMBER(M152),ABS(M152),"")</f>
        <v/>
      </c>
    </row>
    <row r="153">
      <c r="L153">
        <f>IF(AND(H153&lt;&gt;"",I153&lt;&gt;""),I153-H153,"")</f>
        <v/>
      </c>
      <c r="M153">
        <f>IF(AND(H153&lt;&gt;"",H153&lt;&gt;0,I153&lt;&gt;""),(I153-H153)/H153*100,"")</f>
        <v/>
      </c>
      <c r="P153">
        <f>IF(ISNUMBER(M153),ABS(M153),"")</f>
        <v/>
      </c>
    </row>
    <row r="154">
      <c r="L154">
        <f>IF(AND(H154&lt;&gt;"",I154&lt;&gt;""),I154-H154,"")</f>
        <v/>
      </c>
      <c r="M154">
        <f>IF(AND(H154&lt;&gt;"",H154&lt;&gt;0,I154&lt;&gt;""),(I154-H154)/H154*100,"")</f>
        <v/>
      </c>
      <c r="P154">
        <f>IF(ISNUMBER(M154),ABS(M154),"")</f>
        <v/>
      </c>
    </row>
    <row r="155">
      <c r="L155">
        <f>IF(AND(H155&lt;&gt;"",I155&lt;&gt;""),I155-H155,"")</f>
        <v/>
      </c>
      <c r="M155">
        <f>IF(AND(H155&lt;&gt;"",H155&lt;&gt;0,I155&lt;&gt;""),(I155-H155)/H155*100,"")</f>
        <v/>
      </c>
      <c r="P155">
        <f>IF(ISNUMBER(M155),ABS(M155),"")</f>
        <v/>
      </c>
    </row>
    <row r="156">
      <c r="L156">
        <f>IF(AND(H156&lt;&gt;"",I156&lt;&gt;""),I156-H156,"")</f>
        <v/>
      </c>
      <c r="M156">
        <f>IF(AND(H156&lt;&gt;"",H156&lt;&gt;0,I156&lt;&gt;""),(I156-H156)/H156*100,"")</f>
        <v/>
      </c>
      <c r="P156">
        <f>IF(ISNUMBER(M156),ABS(M156),"")</f>
        <v/>
      </c>
    </row>
    <row r="157">
      <c r="L157">
        <f>IF(AND(H157&lt;&gt;"",I157&lt;&gt;""),I157-H157,"")</f>
        <v/>
      </c>
      <c r="M157">
        <f>IF(AND(H157&lt;&gt;"",H157&lt;&gt;0,I157&lt;&gt;""),(I157-H157)/H157*100,"")</f>
        <v/>
      </c>
      <c r="P157">
        <f>IF(ISNUMBER(M157),ABS(M157),"")</f>
        <v/>
      </c>
    </row>
    <row r="158">
      <c r="L158">
        <f>IF(AND(H158&lt;&gt;"",I158&lt;&gt;""),I158-H158,"")</f>
        <v/>
      </c>
      <c r="M158">
        <f>IF(AND(H158&lt;&gt;"",H158&lt;&gt;0,I158&lt;&gt;""),(I158-H158)/H158*100,"")</f>
        <v/>
      </c>
      <c r="P158">
        <f>IF(ISNUMBER(M158),ABS(M158),"")</f>
        <v/>
      </c>
    </row>
    <row r="159">
      <c r="L159">
        <f>IF(AND(H159&lt;&gt;"",I159&lt;&gt;""),I159-H159,"")</f>
        <v/>
      </c>
      <c r="M159">
        <f>IF(AND(H159&lt;&gt;"",H159&lt;&gt;0,I159&lt;&gt;""),(I159-H159)/H159*100,"")</f>
        <v/>
      </c>
      <c r="P159">
        <f>IF(ISNUMBER(M159),ABS(M159),"")</f>
        <v/>
      </c>
    </row>
    <row r="160">
      <c r="L160">
        <f>IF(AND(H160&lt;&gt;"",I160&lt;&gt;""),I160-H160,"")</f>
        <v/>
      </c>
      <c r="M160">
        <f>IF(AND(H160&lt;&gt;"",H160&lt;&gt;0,I160&lt;&gt;""),(I160-H160)/H160*100,"")</f>
        <v/>
      </c>
      <c r="P160">
        <f>IF(ISNUMBER(M160),ABS(M160),"")</f>
        <v/>
      </c>
    </row>
    <row r="161">
      <c r="L161">
        <f>IF(AND(H161&lt;&gt;"",I161&lt;&gt;""),I161-H161,"")</f>
        <v/>
      </c>
      <c r="M161">
        <f>IF(AND(H161&lt;&gt;"",H161&lt;&gt;0,I161&lt;&gt;""),(I161-H161)/H161*100,"")</f>
        <v/>
      </c>
      <c r="P161">
        <f>IF(ISNUMBER(M161),ABS(M161),"")</f>
        <v/>
      </c>
    </row>
    <row r="162">
      <c r="L162">
        <f>IF(AND(H162&lt;&gt;"",I162&lt;&gt;""),I162-H162,"")</f>
        <v/>
      </c>
      <c r="M162">
        <f>IF(AND(H162&lt;&gt;"",H162&lt;&gt;0,I162&lt;&gt;""),(I162-H162)/H162*100,"")</f>
        <v/>
      </c>
      <c r="P162">
        <f>IF(ISNUMBER(M162),ABS(M162),"")</f>
        <v/>
      </c>
    </row>
    <row r="163">
      <c r="L163">
        <f>IF(AND(H163&lt;&gt;"",I163&lt;&gt;""),I163-H163,"")</f>
        <v/>
      </c>
      <c r="M163">
        <f>IF(AND(H163&lt;&gt;"",H163&lt;&gt;0,I163&lt;&gt;""),(I163-H163)/H163*100,"")</f>
        <v/>
      </c>
      <c r="P163">
        <f>IF(ISNUMBER(M163),ABS(M163),"")</f>
        <v/>
      </c>
    </row>
    <row r="164">
      <c r="L164">
        <f>IF(AND(H164&lt;&gt;"",I164&lt;&gt;""),I164-H164,"")</f>
        <v/>
      </c>
      <c r="M164">
        <f>IF(AND(H164&lt;&gt;"",H164&lt;&gt;0,I164&lt;&gt;""),(I164-H164)/H164*100,"")</f>
        <v/>
      </c>
      <c r="P164">
        <f>IF(ISNUMBER(M164),ABS(M164),"")</f>
        <v/>
      </c>
    </row>
    <row r="165">
      <c r="L165">
        <f>IF(AND(H165&lt;&gt;"",I165&lt;&gt;""),I165-H165,"")</f>
        <v/>
      </c>
      <c r="M165">
        <f>IF(AND(H165&lt;&gt;"",H165&lt;&gt;0,I165&lt;&gt;""),(I165-H165)/H165*100,"")</f>
        <v/>
      </c>
      <c r="P165">
        <f>IF(ISNUMBER(M165),ABS(M165),"")</f>
        <v/>
      </c>
    </row>
    <row r="166">
      <c r="L166">
        <f>IF(AND(H166&lt;&gt;"",I166&lt;&gt;""),I166-H166,"")</f>
        <v/>
      </c>
      <c r="M166">
        <f>IF(AND(H166&lt;&gt;"",H166&lt;&gt;0,I166&lt;&gt;""),(I166-H166)/H166*100,"")</f>
        <v/>
      </c>
      <c r="P166">
        <f>IF(ISNUMBER(M166),ABS(M166),"")</f>
        <v/>
      </c>
    </row>
    <row r="167">
      <c r="L167">
        <f>IF(AND(H167&lt;&gt;"",I167&lt;&gt;""),I167-H167,"")</f>
        <v/>
      </c>
      <c r="M167">
        <f>IF(AND(H167&lt;&gt;"",H167&lt;&gt;0,I167&lt;&gt;""),(I167-H167)/H167*100,"")</f>
        <v/>
      </c>
      <c r="P167">
        <f>IF(ISNUMBER(M167),ABS(M167),"")</f>
        <v/>
      </c>
    </row>
    <row r="168">
      <c r="L168">
        <f>IF(AND(H168&lt;&gt;"",I168&lt;&gt;""),I168-H168,"")</f>
        <v/>
      </c>
      <c r="M168">
        <f>IF(AND(H168&lt;&gt;"",H168&lt;&gt;0,I168&lt;&gt;""),(I168-H168)/H168*100,"")</f>
        <v/>
      </c>
      <c r="P168">
        <f>IF(ISNUMBER(M168),ABS(M168),"")</f>
        <v/>
      </c>
    </row>
    <row r="169">
      <c r="L169">
        <f>IF(AND(H169&lt;&gt;"",I169&lt;&gt;""),I169-H169,"")</f>
        <v/>
      </c>
      <c r="M169">
        <f>IF(AND(H169&lt;&gt;"",H169&lt;&gt;0,I169&lt;&gt;""),(I169-H169)/H169*100,"")</f>
        <v/>
      </c>
      <c r="P169">
        <f>IF(ISNUMBER(M169),ABS(M169),"")</f>
        <v/>
      </c>
    </row>
    <row r="170">
      <c r="L170">
        <f>IF(AND(H170&lt;&gt;"",I170&lt;&gt;""),I170-H170,"")</f>
        <v/>
      </c>
      <c r="M170">
        <f>IF(AND(H170&lt;&gt;"",H170&lt;&gt;0,I170&lt;&gt;""),(I170-H170)/H170*100,"")</f>
        <v/>
      </c>
      <c r="P170">
        <f>IF(ISNUMBER(M170),ABS(M170),"")</f>
        <v/>
      </c>
    </row>
    <row r="171">
      <c r="L171">
        <f>IF(AND(H171&lt;&gt;"",I171&lt;&gt;""),I171-H171,"")</f>
        <v/>
      </c>
      <c r="M171">
        <f>IF(AND(H171&lt;&gt;"",H171&lt;&gt;0,I171&lt;&gt;""),(I171-H171)/H171*100,"")</f>
        <v/>
      </c>
      <c r="P171">
        <f>IF(ISNUMBER(M171),ABS(M171),"")</f>
        <v/>
      </c>
    </row>
    <row r="172">
      <c r="L172">
        <f>IF(AND(H172&lt;&gt;"",I172&lt;&gt;""),I172-H172,"")</f>
        <v/>
      </c>
      <c r="M172">
        <f>IF(AND(H172&lt;&gt;"",H172&lt;&gt;0,I172&lt;&gt;""),(I172-H172)/H172*100,"")</f>
        <v/>
      </c>
      <c r="P172">
        <f>IF(ISNUMBER(M172),ABS(M172),"")</f>
        <v/>
      </c>
    </row>
    <row r="173">
      <c r="L173">
        <f>IF(AND(H173&lt;&gt;"",I173&lt;&gt;""),I173-H173,"")</f>
        <v/>
      </c>
      <c r="M173">
        <f>IF(AND(H173&lt;&gt;"",H173&lt;&gt;0,I173&lt;&gt;""),(I173-H173)/H173*100,"")</f>
        <v/>
      </c>
      <c r="P173">
        <f>IF(ISNUMBER(M173),ABS(M173),"")</f>
        <v/>
      </c>
    </row>
    <row r="174">
      <c r="L174">
        <f>IF(AND(H174&lt;&gt;"",I174&lt;&gt;""),I174-H174,"")</f>
        <v/>
      </c>
      <c r="M174">
        <f>IF(AND(H174&lt;&gt;"",H174&lt;&gt;0,I174&lt;&gt;""),(I174-H174)/H174*100,"")</f>
        <v/>
      </c>
      <c r="P174">
        <f>IF(ISNUMBER(M174),ABS(M174),"")</f>
        <v/>
      </c>
    </row>
    <row r="175">
      <c r="L175">
        <f>IF(AND(H175&lt;&gt;"",I175&lt;&gt;""),I175-H175,"")</f>
        <v/>
      </c>
      <c r="M175">
        <f>IF(AND(H175&lt;&gt;"",H175&lt;&gt;0,I175&lt;&gt;""),(I175-H175)/H175*100,"")</f>
        <v/>
      </c>
      <c r="P175">
        <f>IF(ISNUMBER(M175),ABS(M175),"")</f>
        <v/>
      </c>
    </row>
    <row r="176">
      <c r="L176">
        <f>IF(AND(H176&lt;&gt;"",I176&lt;&gt;""),I176-H176,"")</f>
        <v/>
      </c>
      <c r="M176">
        <f>IF(AND(H176&lt;&gt;"",H176&lt;&gt;0,I176&lt;&gt;""),(I176-H176)/H176*100,"")</f>
        <v/>
      </c>
      <c r="P176">
        <f>IF(ISNUMBER(M176),ABS(M176),"")</f>
        <v/>
      </c>
    </row>
    <row r="177">
      <c r="L177">
        <f>IF(AND(H177&lt;&gt;"",I177&lt;&gt;""),I177-H177,"")</f>
        <v/>
      </c>
      <c r="M177">
        <f>IF(AND(H177&lt;&gt;"",H177&lt;&gt;0,I177&lt;&gt;""),(I177-H177)/H177*100,"")</f>
        <v/>
      </c>
      <c r="P177">
        <f>IF(ISNUMBER(M177),ABS(M177),"")</f>
        <v/>
      </c>
    </row>
    <row r="178">
      <c r="L178">
        <f>IF(AND(H178&lt;&gt;"",I178&lt;&gt;""),I178-H178,"")</f>
        <v/>
      </c>
      <c r="M178">
        <f>IF(AND(H178&lt;&gt;"",H178&lt;&gt;0,I178&lt;&gt;""),(I178-H178)/H178*100,"")</f>
        <v/>
      </c>
      <c r="P178">
        <f>IF(ISNUMBER(M178),ABS(M178),"")</f>
        <v/>
      </c>
    </row>
    <row r="179">
      <c r="L179">
        <f>IF(AND(H179&lt;&gt;"",I179&lt;&gt;""),I179-H179,"")</f>
        <v/>
      </c>
      <c r="M179">
        <f>IF(AND(H179&lt;&gt;"",H179&lt;&gt;0,I179&lt;&gt;""),(I179-H179)/H179*100,"")</f>
        <v/>
      </c>
      <c r="P179">
        <f>IF(ISNUMBER(M179),ABS(M179),"")</f>
        <v/>
      </c>
    </row>
    <row r="180">
      <c r="L180">
        <f>IF(AND(H180&lt;&gt;"",I180&lt;&gt;""),I180-H180,"")</f>
        <v/>
      </c>
      <c r="M180">
        <f>IF(AND(H180&lt;&gt;"",H180&lt;&gt;0,I180&lt;&gt;""),(I180-H180)/H180*100,"")</f>
        <v/>
      </c>
      <c r="P180">
        <f>IF(ISNUMBER(M180),ABS(M180),"")</f>
        <v/>
      </c>
    </row>
    <row r="181">
      <c r="L181">
        <f>IF(AND(H181&lt;&gt;"",I181&lt;&gt;""),I181-H181,"")</f>
        <v/>
      </c>
      <c r="M181">
        <f>IF(AND(H181&lt;&gt;"",H181&lt;&gt;0,I181&lt;&gt;""),(I181-H181)/H181*100,"")</f>
        <v/>
      </c>
      <c r="P181">
        <f>IF(ISNUMBER(M181),ABS(M181),"")</f>
        <v/>
      </c>
    </row>
    <row r="182">
      <c r="L182">
        <f>IF(AND(H182&lt;&gt;"",I182&lt;&gt;""),I182-H182,"")</f>
        <v/>
      </c>
      <c r="M182">
        <f>IF(AND(H182&lt;&gt;"",H182&lt;&gt;0,I182&lt;&gt;""),(I182-H182)/H182*100,"")</f>
        <v/>
      </c>
      <c r="P182">
        <f>IF(ISNUMBER(M182),ABS(M182),"")</f>
        <v/>
      </c>
    </row>
    <row r="183">
      <c r="L183">
        <f>IF(AND(H183&lt;&gt;"",I183&lt;&gt;""),I183-H183,"")</f>
        <v/>
      </c>
      <c r="M183">
        <f>IF(AND(H183&lt;&gt;"",H183&lt;&gt;0,I183&lt;&gt;""),(I183-H183)/H183*100,"")</f>
        <v/>
      </c>
      <c r="P183">
        <f>IF(ISNUMBER(M183),ABS(M183),"")</f>
        <v/>
      </c>
    </row>
    <row r="184">
      <c r="L184">
        <f>IF(AND(H184&lt;&gt;"",I184&lt;&gt;""),I184-H184,"")</f>
        <v/>
      </c>
      <c r="M184">
        <f>IF(AND(H184&lt;&gt;"",H184&lt;&gt;0,I184&lt;&gt;""),(I184-H184)/H184*100,"")</f>
        <v/>
      </c>
      <c r="P184">
        <f>IF(ISNUMBER(M184),ABS(M184),"")</f>
        <v/>
      </c>
    </row>
    <row r="185">
      <c r="L185">
        <f>IF(AND(H185&lt;&gt;"",I185&lt;&gt;""),I185-H185,"")</f>
        <v/>
      </c>
      <c r="M185">
        <f>IF(AND(H185&lt;&gt;"",H185&lt;&gt;0,I185&lt;&gt;""),(I185-H185)/H185*100,"")</f>
        <v/>
      </c>
      <c r="P185">
        <f>IF(ISNUMBER(M185),ABS(M185),"")</f>
        <v/>
      </c>
    </row>
    <row r="186">
      <c r="L186">
        <f>IF(AND(H186&lt;&gt;"",I186&lt;&gt;""),I186-H186,"")</f>
        <v/>
      </c>
      <c r="M186">
        <f>IF(AND(H186&lt;&gt;"",H186&lt;&gt;0,I186&lt;&gt;""),(I186-H186)/H186*100,"")</f>
        <v/>
      </c>
      <c r="P186">
        <f>IF(ISNUMBER(M186),ABS(M186),"")</f>
        <v/>
      </c>
    </row>
    <row r="187">
      <c r="L187">
        <f>IF(AND(H187&lt;&gt;"",I187&lt;&gt;""),I187-H187,"")</f>
        <v/>
      </c>
      <c r="M187">
        <f>IF(AND(H187&lt;&gt;"",H187&lt;&gt;0,I187&lt;&gt;""),(I187-H187)/H187*100,"")</f>
        <v/>
      </c>
      <c r="P187">
        <f>IF(ISNUMBER(M187),ABS(M187),"")</f>
        <v/>
      </c>
    </row>
    <row r="188">
      <c r="L188">
        <f>IF(AND(H188&lt;&gt;"",I188&lt;&gt;""),I188-H188,"")</f>
        <v/>
      </c>
      <c r="M188">
        <f>IF(AND(H188&lt;&gt;"",H188&lt;&gt;0,I188&lt;&gt;""),(I188-H188)/H188*100,"")</f>
        <v/>
      </c>
      <c r="P188">
        <f>IF(ISNUMBER(M188),ABS(M188),"")</f>
        <v/>
      </c>
    </row>
    <row r="189">
      <c r="L189">
        <f>IF(AND(H189&lt;&gt;"",I189&lt;&gt;""),I189-H189,"")</f>
        <v/>
      </c>
      <c r="M189">
        <f>IF(AND(H189&lt;&gt;"",H189&lt;&gt;0,I189&lt;&gt;""),(I189-H189)/H189*100,"")</f>
        <v/>
      </c>
      <c r="P189">
        <f>IF(ISNUMBER(M189),ABS(M189),"")</f>
        <v/>
      </c>
    </row>
    <row r="190">
      <c r="L190">
        <f>IF(AND(H190&lt;&gt;"",I190&lt;&gt;""),I190-H190,"")</f>
        <v/>
      </c>
      <c r="M190">
        <f>IF(AND(H190&lt;&gt;"",H190&lt;&gt;0,I190&lt;&gt;""),(I190-H190)/H190*100,"")</f>
        <v/>
      </c>
      <c r="P190">
        <f>IF(ISNUMBER(M190),ABS(M190),"")</f>
        <v/>
      </c>
    </row>
    <row r="191">
      <c r="L191">
        <f>IF(AND(H191&lt;&gt;"",I191&lt;&gt;""),I191-H191,"")</f>
        <v/>
      </c>
      <c r="M191">
        <f>IF(AND(H191&lt;&gt;"",H191&lt;&gt;0,I191&lt;&gt;""),(I191-H191)/H191*100,"")</f>
        <v/>
      </c>
      <c r="P191">
        <f>IF(ISNUMBER(M191),ABS(M191),"")</f>
        <v/>
      </c>
    </row>
    <row r="192">
      <c r="L192">
        <f>IF(AND(H192&lt;&gt;"",I192&lt;&gt;""),I192-H192,"")</f>
        <v/>
      </c>
      <c r="M192">
        <f>IF(AND(H192&lt;&gt;"",H192&lt;&gt;0,I192&lt;&gt;""),(I192-H192)/H192*100,"")</f>
        <v/>
      </c>
      <c r="P192">
        <f>IF(ISNUMBER(M192),ABS(M192),"")</f>
        <v/>
      </c>
    </row>
    <row r="193">
      <c r="L193">
        <f>IF(AND(H193&lt;&gt;"",I193&lt;&gt;""),I193-H193,"")</f>
        <v/>
      </c>
      <c r="M193">
        <f>IF(AND(H193&lt;&gt;"",H193&lt;&gt;0,I193&lt;&gt;""),(I193-H193)/H193*100,"")</f>
        <v/>
      </c>
      <c r="P193">
        <f>IF(ISNUMBER(M193),ABS(M193),"")</f>
        <v/>
      </c>
    </row>
    <row r="194">
      <c r="L194">
        <f>IF(AND(H194&lt;&gt;"",I194&lt;&gt;""),I194-H194,"")</f>
        <v/>
      </c>
      <c r="M194">
        <f>IF(AND(H194&lt;&gt;"",H194&lt;&gt;0,I194&lt;&gt;""),(I194-H194)/H194*100,"")</f>
        <v/>
      </c>
      <c r="P194">
        <f>IF(ISNUMBER(M194),ABS(M194),"")</f>
        <v/>
      </c>
    </row>
    <row r="195">
      <c r="L195">
        <f>IF(AND(H195&lt;&gt;"",I195&lt;&gt;""),I195-H195,"")</f>
        <v/>
      </c>
      <c r="M195">
        <f>IF(AND(H195&lt;&gt;"",H195&lt;&gt;0,I195&lt;&gt;""),(I195-H195)/H195*100,"")</f>
        <v/>
      </c>
      <c r="P195">
        <f>IF(ISNUMBER(M195),ABS(M195),"")</f>
        <v/>
      </c>
    </row>
    <row r="196">
      <c r="L196">
        <f>IF(AND(H196&lt;&gt;"",I196&lt;&gt;""),I196-H196,"")</f>
        <v/>
      </c>
      <c r="M196">
        <f>IF(AND(H196&lt;&gt;"",H196&lt;&gt;0,I196&lt;&gt;""),(I196-H196)/H196*100,"")</f>
        <v/>
      </c>
      <c r="P196">
        <f>IF(ISNUMBER(M196),ABS(M196),"")</f>
        <v/>
      </c>
    </row>
    <row r="197">
      <c r="L197">
        <f>IF(AND(H197&lt;&gt;"",I197&lt;&gt;""),I197-H197,"")</f>
        <v/>
      </c>
      <c r="M197">
        <f>IF(AND(H197&lt;&gt;"",H197&lt;&gt;0,I197&lt;&gt;""),(I197-H197)/H197*100,"")</f>
        <v/>
      </c>
      <c r="P197">
        <f>IF(ISNUMBER(M197),ABS(M197),"")</f>
        <v/>
      </c>
    </row>
    <row r="198">
      <c r="L198">
        <f>IF(AND(H198&lt;&gt;"",I198&lt;&gt;""),I198-H198,"")</f>
        <v/>
      </c>
      <c r="M198">
        <f>IF(AND(H198&lt;&gt;"",H198&lt;&gt;0,I198&lt;&gt;""),(I198-H198)/H198*100,"")</f>
        <v/>
      </c>
      <c r="P198">
        <f>IF(ISNUMBER(M198),ABS(M198),"")</f>
        <v/>
      </c>
    </row>
    <row r="199">
      <c r="L199">
        <f>IF(AND(H199&lt;&gt;"",I199&lt;&gt;""),I199-H199,"")</f>
        <v/>
      </c>
      <c r="M199">
        <f>IF(AND(H199&lt;&gt;"",H199&lt;&gt;0,I199&lt;&gt;""),(I199-H199)/H199*100,"")</f>
        <v/>
      </c>
      <c r="P199">
        <f>IF(ISNUMBER(M199),ABS(M199),"")</f>
        <v/>
      </c>
    </row>
    <row r="200">
      <c r="L200">
        <f>IF(AND(H200&lt;&gt;"",I200&lt;&gt;""),I200-H200,"")</f>
        <v/>
      </c>
      <c r="M200">
        <f>IF(AND(H200&lt;&gt;"",H200&lt;&gt;0,I200&lt;&gt;""),(I200-H200)/H200*100,"")</f>
        <v/>
      </c>
      <c r="P200">
        <f>IF(ISNUMBER(M200),ABS(M200),"")</f>
        <v/>
      </c>
    </row>
    <row r="201">
      <c r="L201">
        <f>IF(AND(H201&lt;&gt;"",I201&lt;&gt;""),I201-H201,"")</f>
        <v/>
      </c>
      <c r="M201">
        <f>IF(AND(H201&lt;&gt;"",H201&lt;&gt;0,I201&lt;&gt;""),(I201-H201)/H201*100,"")</f>
        <v/>
      </c>
      <c r="P201">
        <f>IF(ISNUMBER(M201),ABS(M201),"")</f>
        <v/>
      </c>
    </row>
    <row r="202">
      <c r="L202">
        <f>IF(AND(H202&lt;&gt;"",I202&lt;&gt;""),I202-H202,"")</f>
        <v/>
      </c>
      <c r="M202">
        <f>IF(AND(H202&lt;&gt;"",H202&lt;&gt;0,I202&lt;&gt;""),(I202-H202)/H202*100,"")</f>
        <v/>
      </c>
      <c r="P202">
        <f>IF(ISNUMBER(M202),ABS(M202),"")</f>
        <v/>
      </c>
    </row>
    <row r="203">
      <c r="L203">
        <f>IF(AND(H203&lt;&gt;"",I203&lt;&gt;""),I203-H203,"")</f>
        <v/>
      </c>
      <c r="M203">
        <f>IF(AND(H203&lt;&gt;"",H203&lt;&gt;0,I203&lt;&gt;""),(I203-H203)/H203*100,"")</f>
        <v/>
      </c>
      <c r="P203">
        <f>IF(ISNUMBER(M203),ABS(M203),"")</f>
        <v/>
      </c>
    </row>
    <row r="204">
      <c r="L204">
        <f>IF(AND(H204&lt;&gt;"",I204&lt;&gt;""),I204-H204,"")</f>
        <v/>
      </c>
      <c r="M204">
        <f>IF(AND(H204&lt;&gt;"",H204&lt;&gt;0,I204&lt;&gt;""),(I204-H204)/H204*100,"")</f>
        <v/>
      </c>
      <c r="P204">
        <f>IF(ISNUMBER(M204),ABS(M204),"")</f>
        <v/>
      </c>
    </row>
    <row r="205">
      <c r="L205">
        <f>IF(AND(H205&lt;&gt;"",I205&lt;&gt;""),I205-H205,"")</f>
        <v/>
      </c>
      <c r="M205">
        <f>IF(AND(H205&lt;&gt;"",H205&lt;&gt;0,I205&lt;&gt;""),(I205-H205)/H205*100,"")</f>
        <v/>
      </c>
      <c r="P205">
        <f>IF(ISNUMBER(M205),ABS(M205),"")</f>
        <v/>
      </c>
    </row>
    <row r="206">
      <c r="L206">
        <f>IF(AND(H206&lt;&gt;"",I206&lt;&gt;""),I206-H206,"")</f>
        <v/>
      </c>
      <c r="M206">
        <f>IF(AND(H206&lt;&gt;"",H206&lt;&gt;0,I206&lt;&gt;""),(I206-H206)/H206*100,"")</f>
        <v/>
      </c>
      <c r="P206">
        <f>IF(ISNUMBER(M206),ABS(M206),"")</f>
        <v/>
      </c>
    </row>
    <row r="207">
      <c r="L207">
        <f>IF(AND(H207&lt;&gt;"",I207&lt;&gt;""),I207-H207,"")</f>
        <v/>
      </c>
      <c r="M207">
        <f>IF(AND(H207&lt;&gt;"",H207&lt;&gt;0,I207&lt;&gt;""),(I207-H207)/H207*100,"")</f>
        <v/>
      </c>
      <c r="P207">
        <f>IF(ISNUMBER(M207),ABS(M207),"")</f>
        <v/>
      </c>
    </row>
    <row r="208">
      <c r="L208">
        <f>IF(AND(H208&lt;&gt;"",I208&lt;&gt;""),I208-H208,"")</f>
        <v/>
      </c>
      <c r="M208">
        <f>IF(AND(H208&lt;&gt;"",H208&lt;&gt;0,I208&lt;&gt;""),(I208-H208)/H208*100,"")</f>
        <v/>
      </c>
      <c r="P208">
        <f>IF(ISNUMBER(M208),ABS(M208),"")</f>
        <v/>
      </c>
    </row>
    <row r="209">
      <c r="L209">
        <f>IF(AND(H209&lt;&gt;"",I209&lt;&gt;""),I209-H209,"")</f>
        <v/>
      </c>
      <c r="M209">
        <f>IF(AND(H209&lt;&gt;"",H209&lt;&gt;0,I209&lt;&gt;""),(I209-H209)/H209*100,"")</f>
        <v/>
      </c>
      <c r="P209">
        <f>IF(ISNUMBER(M209),ABS(M209),"")</f>
        <v/>
      </c>
    </row>
    <row r="210">
      <c r="L210">
        <f>IF(AND(H210&lt;&gt;"",I210&lt;&gt;""),I210-H210,"")</f>
        <v/>
      </c>
      <c r="M210">
        <f>IF(AND(H210&lt;&gt;"",H210&lt;&gt;0,I210&lt;&gt;""),(I210-H210)/H210*100,"")</f>
        <v/>
      </c>
      <c r="P210">
        <f>IF(ISNUMBER(M210),ABS(M210),"")</f>
        <v/>
      </c>
    </row>
    <row r="211">
      <c r="L211">
        <f>IF(AND(H211&lt;&gt;"",I211&lt;&gt;""),I211-H211,"")</f>
        <v/>
      </c>
      <c r="M211">
        <f>IF(AND(H211&lt;&gt;"",H211&lt;&gt;0,I211&lt;&gt;""),(I211-H211)/H211*100,"")</f>
        <v/>
      </c>
      <c r="P211">
        <f>IF(ISNUMBER(M211),ABS(M211),"")</f>
        <v/>
      </c>
    </row>
    <row r="212">
      <c r="L212">
        <f>IF(AND(H212&lt;&gt;"",I212&lt;&gt;""),I212-H212,"")</f>
        <v/>
      </c>
      <c r="M212">
        <f>IF(AND(H212&lt;&gt;"",H212&lt;&gt;0,I212&lt;&gt;""),(I212-H212)/H212*100,"")</f>
        <v/>
      </c>
      <c r="P212">
        <f>IF(ISNUMBER(M212),ABS(M212),"")</f>
        <v/>
      </c>
    </row>
    <row r="213">
      <c r="L213">
        <f>IF(AND(H213&lt;&gt;"",I213&lt;&gt;""),I213-H213,"")</f>
        <v/>
      </c>
      <c r="M213">
        <f>IF(AND(H213&lt;&gt;"",H213&lt;&gt;0,I213&lt;&gt;""),(I213-H213)/H213*100,"")</f>
        <v/>
      </c>
      <c r="P213">
        <f>IF(ISNUMBER(M213),ABS(M213),"")</f>
        <v/>
      </c>
    </row>
    <row r="214">
      <c r="L214">
        <f>IF(AND(H214&lt;&gt;"",I214&lt;&gt;""),I214-H214,"")</f>
        <v/>
      </c>
      <c r="M214">
        <f>IF(AND(H214&lt;&gt;"",H214&lt;&gt;0,I214&lt;&gt;""),(I214-H214)/H214*100,"")</f>
        <v/>
      </c>
      <c r="P214">
        <f>IF(ISNUMBER(M214),ABS(M214),"")</f>
        <v/>
      </c>
    </row>
    <row r="215">
      <c r="L215">
        <f>IF(AND(H215&lt;&gt;"",I215&lt;&gt;""),I215-H215,"")</f>
        <v/>
      </c>
      <c r="M215">
        <f>IF(AND(H215&lt;&gt;"",H215&lt;&gt;0,I215&lt;&gt;""),(I215-H215)/H215*100,"")</f>
        <v/>
      </c>
      <c r="P215">
        <f>IF(ISNUMBER(M215),ABS(M215),"")</f>
        <v/>
      </c>
    </row>
    <row r="216">
      <c r="L216">
        <f>IF(AND(H216&lt;&gt;"",I216&lt;&gt;""),I216-H216,"")</f>
        <v/>
      </c>
      <c r="M216">
        <f>IF(AND(H216&lt;&gt;"",H216&lt;&gt;0,I216&lt;&gt;""),(I216-H216)/H216*100,"")</f>
        <v/>
      </c>
      <c r="P216">
        <f>IF(ISNUMBER(M216),ABS(M216),"")</f>
        <v/>
      </c>
    </row>
    <row r="217">
      <c r="L217">
        <f>IF(AND(H217&lt;&gt;"",I217&lt;&gt;""),I217-H217,"")</f>
        <v/>
      </c>
      <c r="M217">
        <f>IF(AND(H217&lt;&gt;"",H217&lt;&gt;0,I217&lt;&gt;""),(I217-H217)/H217*100,"")</f>
        <v/>
      </c>
      <c r="P217">
        <f>IF(ISNUMBER(M217),ABS(M217),"")</f>
        <v/>
      </c>
    </row>
    <row r="218">
      <c r="L218">
        <f>IF(AND(H218&lt;&gt;"",I218&lt;&gt;""),I218-H218,"")</f>
        <v/>
      </c>
      <c r="M218">
        <f>IF(AND(H218&lt;&gt;"",H218&lt;&gt;0,I218&lt;&gt;""),(I218-H218)/H218*100,"")</f>
        <v/>
      </c>
      <c r="P218">
        <f>IF(ISNUMBER(M218),ABS(M218),"")</f>
        <v/>
      </c>
    </row>
    <row r="219">
      <c r="L219">
        <f>IF(AND(H219&lt;&gt;"",I219&lt;&gt;""),I219-H219,"")</f>
        <v/>
      </c>
      <c r="M219">
        <f>IF(AND(H219&lt;&gt;"",H219&lt;&gt;0,I219&lt;&gt;""),(I219-H219)/H219*100,"")</f>
        <v/>
      </c>
      <c r="P219">
        <f>IF(ISNUMBER(M219),ABS(M219),"")</f>
        <v/>
      </c>
    </row>
    <row r="220">
      <c r="L220">
        <f>IF(AND(H220&lt;&gt;"",I220&lt;&gt;""),I220-H220,"")</f>
        <v/>
      </c>
      <c r="M220">
        <f>IF(AND(H220&lt;&gt;"",H220&lt;&gt;0,I220&lt;&gt;""),(I220-H220)/H220*100,"")</f>
        <v/>
      </c>
      <c r="P220">
        <f>IF(ISNUMBER(M220),ABS(M220),"")</f>
        <v/>
      </c>
    </row>
    <row r="221">
      <c r="L221">
        <f>IF(AND(H221&lt;&gt;"",I221&lt;&gt;""),I221-H221,"")</f>
        <v/>
      </c>
      <c r="M221">
        <f>IF(AND(H221&lt;&gt;"",H221&lt;&gt;0,I221&lt;&gt;""),(I221-H221)/H221*100,"")</f>
        <v/>
      </c>
      <c r="P221">
        <f>IF(ISNUMBER(M221),ABS(M221),"")</f>
        <v/>
      </c>
    </row>
    <row r="222">
      <c r="L222">
        <f>IF(AND(H222&lt;&gt;"",I222&lt;&gt;""),I222-H222,"")</f>
        <v/>
      </c>
      <c r="M222">
        <f>IF(AND(H222&lt;&gt;"",H222&lt;&gt;0,I222&lt;&gt;""),(I222-H222)/H222*100,"")</f>
        <v/>
      </c>
      <c r="P222">
        <f>IF(ISNUMBER(M222),ABS(M222),"")</f>
        <v/>
      </c>
    </row>
    <row r="223">
      <c r="L223">
        <f>IF(AND(H223&lt;&gt;"",I223&lt;&gt;""),I223-H223,"")</f>
        <v/>
      </c>
      <c r="M223">
        <f>IF(AND(H223&lt;&gt;"",H223&lt;&gt;0,I223&lt;&gt;""),(I223-H223)/H223*100,"")</f>
        <v/>
      </c>
      <c r="P223">
        <f>IF(ISNUMBER(M223),ABS(M223),"")</f>
        <v/>
      </c>
    </row>
    <row r="224">
      <c r="L224">
        <f>IF(AND(H224&lt;&gt;"",I224&lt;&gt;""),I224-H224,"")</f>
        <v/>
      </c>
      <c r="M224">
        <f>IF(AND(H224&lt;&gt;"",H224&lt;&gt;0,I224&lt;&gt;""),(I224-H224)/H224*100,"")</f>
        <v/>
      </c>
      <c r="P224">
        <f>IF(ISNUMBER(M224),ABS(M224),"")</f>
        <v/>
      </c>
    </row>
    <row r="225">
      <c r="L225">
        <f>IF(AND(H225&lt;&gt;"",I225&lt;&gt;""),I225-H225,"")</f>
        <v/>
      </c>
      <c r="M225">
        <f>IF(AND(H225&lt;&gt;"",H225&lt;&gt;0,I225&lt;&gt;""),(I225-H225)/H225*100,"")</f>
        <v/>
      </c>
      <c r="P225">
        <f>IF(ISNUMBER(M225),ABS(M225),"")</f>
        <v/>
      </c>
    </row>
    <row r="226">
      <c r="L226">
        <f>IF(AND(H226&lt;&gt;"",I226&lt;&gt;""),I226-H226,"")</f>
        <v/>
      </c>
      <c r="M226">
        <f>IF(AND(H226&lt;&gt;"",H226&lt;&gt;0,I226&lt;&gt;""),(I226-H226)/H226*100,"")</f>
        <v/>
      </c>
      <c r="P226">
        <f>IF(ISNUMBER(M226),ABS(M226),"")</f>
        <v/>
      </c>
    </row>
    <row r="227">
      <c r="L227">
        <f>IF(AND(H227&lt;&gt;"",I227&lt;&gt;""),I227-H227,"")</f>
        <v/>
      </c>
      <c r="M227">
        <f>IF(AND(H227&lt;&gt;"",H227&lt;&gt;0,I227&lt;&gt;""),(I227-H227)/H227*100,"")</f>
        <v/>
      </c>
      <c r="P227">
        <f>IF(ISNUMBER(M227),ABS(M227),"")</f>
        <v/>
      </c>
    </row>
    <row r="228">
      <c r="L228">
        <f>IF(AND(H228&lt;&gt;"",I228&lt;&gt;""),I228-H228,"")</f>
        <v/>
      </c>
      <c r="M228">
        <f>IF(AND(H228&lt;&gt;"",H228&lt;&gt;0,I228&lt;&gt;""),(I228-H228)/H228*100,"")</f>
        <v/>
      </c>
      <c r="P228">
        <f>IF(ISNUMBER(M228),ABS(M228),"")</f>
        <v/>
      </c>
    </row>
    <row r="229">
      <c r="L229">
        <f>IF(AND(H229&lt;&gt;"",I229&lt;&gt;""),I229-H229,"")</f>
        <v/>
      </c>
      <c r="M229">
        <f>IF(AND(H229&lt;&gt;"",H229&lt;&gt;0,I229&lt;&gt;""),(I229-H229)/H229*100,"")</f>
        <v/>
      </c>
      <c r="P229">
        <f>IF(ISNUMBER(M229),ABS(M229),"")</f>
        <v/>
      </c>
    </row>
    <row r="230">
      <c r="L230">
        <f>IF(AND(H230&lt;&gt;"",I230&lt;&gt;""),I230-H230,"")</f>
        <v/>
      </c>
      <c r="M230">
        <f>IF(AND(H230&lt;&gt;"",H230&lt;&gt;0,I230&lt;&gt;""),(I230-H230)/H230*100,"")</f>
        <v/>
      </c>
      <c r="P230">
        <f>IF(ISNUMBER(M230),ABS(M230),"")</f>
        <v/>
      </c>
    </row>
    <row r="231">
      <c r="L231">
        <f>IF(AND(H231&lt;&gt;"",I231&lt;&gt;""),I231-H231,"")</f>
        <v/>
      </c>
      <c r="M231">
        <f>IF(AND(H231&lt;&gt;"",H231&lt;&gt;0,I231&lt;&gt;""),(I231-H231)/H231*100,"")</f>
        <v/>
      </c>
      <c r="P231">
        <f>IF(ISNUMBER(M231),ABS(M231),"")</f>
        <v/>
      </c>
    </row>
    <row r="232">
      <c r="L232">
        <f>IF(AND(H232&lt;&gt;"",I232&lt;&gt;""),I232-H232,"")</f>
        <v/>
      </c>
      <c r="M232">
        <f>IF(AND(H232&lt;&gt;"",H232&lt;&gt;0,I232&lt;&gt;""),(I232-H232)/H232*100,"")</f>
        <v/>
      </c>
      <c r="P232">
        <f>IF(ISNUMBER(M232),ABS(M232),"")</f>
        <v/>
      </c>
    </row>
    <row r="233">
      <c r="L233">
        <f>IF(AND(H233&lt;&gt;"",I233&lt;&gt;""),I233-H233,"")</f>
        <v/>
      </c>
      <c r="M233">
        <f>IF(AND(H233&lt;&gt;"",H233&lt;&gt;0,I233&lt;&gt;""),(I233-H233)/H233*100,"")</f>
        <v/>
      </c>
      <c r="P233">
        <f>IF(ISNUMBER(M233),ABS(M233),"")</f>
        <v/>
      </c>
    </row>
    <row r="234">
      <c r="L234">
        <f>IF(AND(H234&lt;&gt;"",I234&lt;&gt;""),I234-H234,"")</f>
        <v/>
      </c>
      <c r="M234">
        <f>IF(AND(H234&lt;&gt;"",H234&lt;&gt;0,I234&lt;&gt;""),(I234-H234)/H234*100,"")</f>
        <v/>
      </c>
      <c r="P234">
        <f>IF(ISNUMBER(M234),ABS(M234),"")</f>
        <v/>
      </c>
    </row>
    <row r="235">
      <c r="L235">
        <f>IF(AND(H235&lt;&gt;"",I235&lt;&gt;""),I235-H235,"")</f>
        <v/>
      </c>
      <c r="M235">
        <f>IF(AND(H235&lt;&gt;"",H235&lt;&gt;0,I235&lt;&gt;""),(I235-H235)/H235*100,"")</f>
        <v/>
      </c>
      <c r="P235">
        <f>IF(ISNUMBER(M235),ABS(M235),"")</f>
        <v/>
      </c>
    </row>
    <row r="236">
      <c r="L236">
        <f>IF(AND(H236&lt;&gt;"",I236&lt;&gt;""),I236-H236,"")</f>
        <v/>
      </c>
      <c r="M236">
        <f>IF(AND(H236&lt;&gt;"",H236&lt;&gt;0,I236&lt;&gt;""),(I236-H236)/H236*100,"")</f>
        <v/>
      </c>
      <c r="P236">
        <f>IF(ISNUMBER(M236),ABS(M236),"")</f>
        <v/>
      </c>
    </row>
    <row r="237">
      <c r="L237">
        <f>IF(AND(H237&lt;&gt;"",I237&lt;&gt;""),I237-H237,"")</f>
        <v/>
      </c>
      <c r="M237">
        <f>IF(AND(H237&lt;&gt;"",H237&lt;&gt;0,I237&lt;&gt;""),(I237-H237)/H237*100,"")</f>
        <v/>
      </c>
      <c r="P237">
        <f>IF(ISNUMBER(M237),ABS(M237),"")</f>
        <v/>
      </c>
    </row>
    <row r="238">
      <c r="L238">
        <f>IF(AND(H238&lt;&gt;"",I238&lt;&gt;""),I238-H238,"")</f>
        <v/>
      </c>
      <c r="M238">
        <f>IF(AND(H238&lt;&gt;"",H238&lt;&gt;0,I238&lt;&gt;""),(I238-H238)/H238*100,"")</f>
        <v/>
      </c>
      <c r="P238">
        <f>IF(ISNUMBER(M238),ABS(M238),"")</f>
        <v/>
      </c>
    </row>
    <row r="239">
      <c r="L239">
        <f>IF(AND(H239&lt;&gt;"",I239&lt;&gt;""),I239-H239,"")</f>
        <v/>
      </c>
      <c r="M239">
        <f>IF(AND(H239&lt;&gt;"",H239&lt;&gt;0,I239&lt;&gt;""),(I239-H239)/H239*100,"")</f>
        <v/>
      </c>
      <c r="P239">
        <f>IF(ISNUMBER(M239),ABS(M239),"")</f>
        <v/>
      </c>
    </row>
    <row r="240">
      <c r="L240">
        <f>IF(AND(H240&lt;&gt;"",I240&lt;&gt;""),I240-H240,"")</f>
        <v/>
      </c>
      <c r="M240">
        <f>IF(AND(H240&lt;&gt;"",H240&lt;&gt;0,I240&lt;&gt;""),(I240-H240)/H240*100,"")</f>
        <v/>
      </c>
      <c r="P240">
        <f>IF(ISNUMBER(M240),ABS(M240),"")</f>
        <v/>
      </c>
    </row>
    <row r="241">
      <c r="L241">
        <f>IF(AND(H241&lt;&gt;"",I241&lt;&gt;""),I241-H241,"")</f>
        <v/>
      </c>
      <c r="M241">
        <f>IF(AND(H241&lt;&gt;"",H241&lt;&gt;0,I241&lt;&gt;""),(I241-H241)/H241*100,"")</f>
        <v/>
      </c>
      <c r="P241">
        <f>IF(ISNUMBER(M241),ABS(M241),"")</f>
        <v/>
      </c>
    </row>
    <row r="242">
      <c r="L242">
        <f>IF(AND(H242&lt;&gt;"",I242&lt;&gt;""),I242-H242,"")</f>
        <v/>
      </c>
      <c r="M242">
        <f>IF(AND(H242&lt;&gt;"",H242&lt;&gt;0,I242&lt;&gt;""),(I242-H242)/H242*100,"")</f>
        <v/>
      </c>
      <c r="P242">
        <f>IF(ISNUMBER(M242),ABS(M242),"")</f>
        <v/>
      </c>
    </row>
    <row r="243">
      <c r="L243">
        <f>IF(AND(H243&lt;&gt;"",I243&lt;&gt;""),I243-H243,"")</f>
        <v/>
      </c>
      <c r="M243">
        <f>IF(AND(H243&lt;&gt;"",H243&lt;&gt;0,I243&lt;&gt;""),(I243-H243)/H243*100,"")</f>
        <v/>
      </c>
      <c r="P243">
        <f>IF(ISNUMBER(M243),ABS(M243),"")</f>
        <v/>
      </c>
    </row>
    <row r="244">
      <c r="L244">
        <f>IF(AND(H244&lt;&gt;"",I244&lt;&gt;""),I244-H244,"")</f>
        <v/>
      </c>
      <c r="M244">
        <f>IF(AND(H244&lt;&gt;"",H244&lt;&gt;0,I244&lt;&gt;""),(I244-H244)/H244*100,"")</f>
        <v/>
      </c>
      <c r="P244">
        <f>IF(ISNUMBER(M244),ABS(M244),"")</f>
        <v/>
      </c>
    </row>
    <row r="245">
      <c r="L245">
        <f>IF(AND(H245&lt;&gt;"",I245&lt;&gt;""),I245-H245,"")</f>
        <v/>
      </c>
      <c r="M245">
        <f>IF(AND(H245&lt;&gt;"",H245&lt;&gt;0,I245&lt;&gt;""),(I245-H245)/H245*100,"")</f>
        <v/>
      </c>
      <c r="P245">
        <f>IF(ISNUMBER(M245),ABS(M245),"")</f>
        <v/>
      </c>
    </row>
    <row r="246">
      <c r="L246">
        <f>IF(AND(H246&lt;&gt;"",I246&lt;&gt;""),I246-H246,"")</f>
        <v/>
      </c>
      <c r="M246">
        <f>IF(AND(H246&lt;&gt;"",H246&lt;&gt;0,I246&lt;&gt;""),(I246-H246)/H246*100,"")</f>
        <v/>
      </c>
      <c r="P246">
        <f>IF(ISNUMBER(M246),ABS(M246),"")</f>
        <v/>
      </c>
    </row>
    <row r="247">
      <c r="L247">
        <f>IF(AND(H247&lt;&gt;"",I247&lt;&gt;""),I247-H247,"")</f>
        <v/>
      </c>
      <c r="M247">
        <f>IF(AND(H247&lt;&gt;"",H247&lt;&gt;0,I247&lt;&gt;""),(I247-H247)/H247*100,"")</f>
        <v/>
      </c>
      <c r="P247">
        <f>IF(ISNUMBER(M247),ABS(M247),"")</f>
        <v/>
      </c>
    </row>
    <row r="248">
      <c r="L248">
        <f>IF(AND(H248&lt;&gt;"",I248&lt;&gt;""),I248-H248,"")</f>
        <v/>
      </c>
      <c r="M248">
        <f>IF(AND(H248&lt;&gt;"",H248&lt;&gt;0,I248&lt;&gt;""),(I248-H248)/H248*100,"")</f>
        <v/>
      </c>
      <c r="P248">
        <f>IF(ISNUMBER(M248),ABS(M248),"")</f>
        <v/>
      </c>
    </row>
    <row r="249">
      <c r="L249">
        <f>IF(AND(H249&lt;&gt;"",I249&lt;&gt;""),I249-H249,"")</f>
        <v/>
      </c>
      <c r="M249">
        <f>IF(AND(H249&lt;&gt;"",H249&lt;&gt;0,I249&lt;&gt;""),(I249-H249)/H249*100,"")</f>
        <v/>
      </c>
      <c r="P249">
        <f>IF(ISNUMBER(M249),ABS(M249),"")</f>
        <v/>
      </c>
    </row>
    <row r="250">
      <c r="L250">
        <f>IF(AND(H250&lt;&gt;"",I250&lt;&gt;""),I250-H250,"")</f>
        <v/>
      </c>
      <c r="M250">
        <f>IF(AND(H250&lt;&gt;"",H250&lt;&gt;0,I250&lt;&gt;""),(I250-H250)/H250*100,"")</f>
        <v/>
      </c>
      <c r="P250">
        <f>IF(ISNUMBER(M250),ABS(M250),"")</f>
        <v/>
      </c>
    </row>
    <row r="251">
      <c r="L251">
        <f>IF(AND(H251&lt;&gt;"",I251&lt;&gt;""),I251-H251,"")</f>
        <v/>
      </c>
      <c r="M251">
        <f>IF(AND(H251&lt;&gt;"",H251&lt;&gt;0,I251&lt;&gt;""),(I251-H251)/H251*100,"")</f>
        <v/>
      </c>
      <c r="P251">
        <f>IF(ISNUMBER(M251),ABS(M251),"")</f>
        <v/>
      </c>
    </row>
    <row r="252">
      <c r="L252">
        <f>IF(AND(H252&lt;&gt;"",I252&lt;&gt;""),I252-H252,"")</f>
        <v/>
      </c>
      <c r="M252">
        <f>IF(AND(H252&lt;&gt;"",H252&lt;&gt;0,I252&lt;&gt;""),(I252-H252)/H252*100,"")</f>
        <v/>
      </c>
      <c r="P252">
        <f>IF(ISNUMBER(M252),ABS(M252),"")</f>
        <v/>
      </c>
    </row>
    <row r="253">
      <c r="L253">
        <f>IF(AND(H253&lt;&gt;"",I253&lt;&gt;""),I253-H253,"")</f>
        <v/>
      </c>
      <c r="M253">
        <f>IF(AND(H253&lt;&gt;"",H253&lt;&gt;0,I253&lt;&gt;""),(I253-H253)/H253*100,"")</f>
        <v/>
      </c>
      <c r="P253">
        <f>IF(ISNUMBER(M253),ABS(M253),"")</f>
        <v/>
      </c>
    </row>
    <row r="254">
      <c r="L254">
        <f>IF(AND(H254&lt;&gt;"",I254&lt;&gt;""),I254-H254,"")</f>
        <v/>
      </c>
      <c r="M254">
        <f>IF(AND(H254&lt;&gt;"",H254&lt;&gt;0,I254&lt;&gt;""),(I254-H254)/H254*100,"")</f>
        <v/>
      </c>
      <c r="P254">
        <f>IF(ISNUMBER(M254),ABS(M254),"")</f>
        <v/>
      </c>
    </row>
    <row r="255">
      <c r="L255">
        <f>IF(AND(H255&lt;&gt;"",I255&lt;&gt;""),I255-H255,"")</f>
        <v/>
      </c>
      <c r="M255">
        <f>IF(AND(H255&lt;&gt;"",H255&lt;&gt;0,I255&lt;&gt;""),(I255-H255)/H255*100,"")</f>
        <v/>
      </c>
      <c r="P255">
        <f>IF(ISNUMBER(M255),ABS(M255),"")</f>
        <v/>
      </c>
    </row>
    <row r="256">
      <c r="L256">
        <f>IF(AND(H256&lt;&gt;"",I256&lt;&gt;""),I256-H256,"")</f>
        <v/>
      </c>
      <c r="M256">
        <f>IF(AND(H256&lt;&gt;"",H256&lt;&gt;0,I256&lt;&gt;""),(I256-H256)/H256*100,"")</f>
        <v/>
      </c>
      <c r="P256">
        <f>IF(ISNUMBER(M256),ABS(M256),"")</f>
        <v/>
      </c>
    </row>
    <row r="257">
      <c r="L257">
        <f>IF(AND(H257&lt;&gt;"",I257&lt;&gt;""),I257-H257,"")</f>
        <v/>
      </c>
      <c r="M257">
        <f>IF(AND(H257&lt;&gt;"",H257&lt;&gt;0,I257&lt;&gt;""),(I257-H257)/H257*100,"")</f>
        <v/>
      </c>
      <c r="P257">
        <f>IF(ISNUMBER(M257),ABS(M257),"")</f>
        <v/>
      </c>
    </row>
    <row r="258">
      <c r="L258">
        <f>IF(AND(H258&lt;&gt;"",I258&lt;&gt;""),I258-H258,"")</f>
        <v/>
      </c>
      <c r="M258">
        <f>IF(AND(H258&lt;&gt;"",H258&lt;&gt;0,I258&lt;&gt;""),(I258-H258)/H258*100,"")</f>
        <v/>
      </c>
      <c r="P258">
        <f>IF(ISNUMBER(M258),ABS(M258),"")</f>
        <v/>
      </c>
    </row>
    <row r="259">
      <c r="L259">
        <f>IF(AND(H259&lt;&gt;"",I259&lt;&gt;""),I259-H259,"")</f>
        <v/>
      </c>
      <c r="M259">
        <f>IF(AND(H259&lt;&gt;"",H259&lt;&gt;0,I259&lt;&gt;""),(I259-H259)/H259*100,"")</f>
        <v/>
      </c>
      <c r="P259">
        <f>IF(ISNUMBER(M259),ABS(M259),"")</f>
        <v/>
      </c>
    </row>
    <row r="260">
      <c r="L260">
        <f>IF(AND(H260&lt;&gt;"",I260&lt;&gt;""),I260-H260,"")</f>
        <v/>
      </c>
      <c r="M260">
        <f>IF(AND(H260&lt;&gt;"",H260&lt;&gt;0,I260&lt;&gt;""),(I260-H260)/H260*100,"")</f>
        <v/>
      </c>
      <c r="P260">
        <f>IF(ISNUMBER(M260),ABS(M260),"")</f>
        <v/>
      </c>
    </row>
    <row r="261">
      <c r="L261">
        <f>IF(AND(H261&lt;&gt;"",I261&lt;&gt;""),I261-H261,"")</f>
        <v/>
      </c>
      <c r="M261">
        <f>IF(AND(H261&lt;&gt;"",H261&lt;&gt;0,I261&lt;&gt;""),(I261-H261)/H261*100,"")</f>
        <v/>
      </c>
      <c r="P261">
        <f>IF(ISNUMBER(M261),ABS(M261),"")</f>
        <v/>
      </c>
    </row>
    <row r="262">
      <c r="L262">
        <f>IF(AND(H262&lt;&gt;"",I262&lt;&gt;""),I262-H262,"")</f>
        <v/>
      </c>
      <c r="M262">
        <f>IF(AND(H262&lt;&gt;"",H262&lt;&gt;0,I262&lt;&gt;""),(I262-H262)/H262*100,"")</f>
        <v/>
      </c>
      <c r="P262">
        <f>IF(ISNUMBER(M262),ABS(M262),"")</f>
        <v/>
      </c>
    </row>
    <row r="263">
      <c r="L263">
        <f>IF(AND(H263&lt;&gt;"",I263&lt;&gt;""),I263-H263,"")</f>
        <v/>
      </c>
      <c r="M263">
        <f>IF(AND(H263&lt;&gt;"",H263&lt;&gt;0,I263&lt;&gt;""),(I263-H263)/H263*100,"")</f>
        <v/>
      </c>
      <c r="P263">
        <f>IF(ISNUMBER(M263),ABS(M263),"")</f>
        <v/>
      </c>
    </row>
    <row r="264">
      <c r="L264">
        <f>IF(AND(H264&lt;&gt;"",I264&lt;&gt;""),I264-H264,"")</f>
        <v/>
      </c>
      <c r="M264">
        <f>IF(AND(H264&lt;&gt;"",H264&lt;&gt;0,I264&lt;&gt;""),(I264-H264)/H264*100,"")</f>
        <v/>
      </c>
      <c r="P264">
        <f>IF(ISNUMBER(M264),ABS(M264),"")</f>
        <v/>
      </c>
    </row>
    <row r="265">
      <c r="L265">
        <f>IF(AND(H265&lt;&gt;"",I265&lt;&gt;""),I265-H265,"")</f>
        <v/>
      </c>
      <c r="M265">
        <f>IF(AND(H265&lt;&gt;"",H265&lt;&gt;0,I265&lt;&gt;""),(I265-H265)/H265*100,"")</f>
        <v/>
      </c>
      <c r="P265">
        <f>IF(ISNUMBER(M265),ABS(M265),"")</f>
        <v/>
      </c>
    </row>
    <row r="266">
      <c r="L266">
        <f>IF(AND(H266&lt;&gt;"",I266&lt;&gt;""),I266-H266,"")</f>
        <v/>
      </c>
      <c r="M266">
        <f>IF(AND(H266&lt;&gt;"",H266&lt;&gt;0,I266&lt;&gt;""),(I266-H266)/H266*100,"")</f>
        <v/>
      </c>
      <c r="P266">
        <f>IF(ISNUMBER(M266),ABS(M266),"")</f>
        <v/>
      </c>
    </row>
    <row r="267">
      <c r="L267">
        <f>IF(AND(H267&lt;&gt;"",I267&lt;&gt;""),I267-H267,"")</f>
        <v/>
      </c>
      <c r="M267">
        <f>IF(AND(H267&lt;&gt;"",H267&lt;&gt;0,I267&lt;&gt;""),(I267-H267)/H267*100,"")</f>
        <v/>
      </c>
      <c r="P267">
        <f>IF(ISNUMBER(M267),ABS(M267),"")</f>
        <v/>
      </c>
    </row>
    <row r="268">
      <c r="L268">
        <f>IF(AND(H268&lt;&gt;"",I268&lt;&gt;""),I268-H268,"")</f>
        <v/>
      </c>
      <c r="M268">
        <f>IF(AND(H268&lt;&gt;"",H268&lt;&gt;0,I268&lt;&gt;""),(I268-H268)/H268*100,"")</f>
        <v/>
      </c>
      <c r="P268">
        <f>IF(ISNUMBER(M268),ABS(M268),"")</f>
        <v/>
      </c>
    </row>
    <row r="269">
      <c r="L269">
        <f>IF(AND(H269&lt;&gt;"",I269&lt;&gt;""),I269-H269,"")</f>
        <v/>
      </c>
      <c r="M269">
        <f>IF(AND(H269&lt;&gt;"",H269&lt;&gt;0,I269&lt;&gt;""),(I269-H269)/H269*100,"")</f>
        <v/>
      </c>
      <c r="P269">
        <f>IF(ISNUMBER(M269),ABS(M269),"")</f>
        <v/>
      </c>
    </row>
    <row r="270">
      <c r="L270">
        <f>IF(AND(H270&lt;&gt;"",I270&lt;&gt;""),I270-H270,"")</f>
        <v/>
      </c>
      <c r="M270">
        <f>IF(AND(H270&lt;&gt;"",H270&lt;&gt;0,I270&lt;&gt;""),(I270-H270)/H270*100,"")</f>
        <v/>
      </c>
      <c r="P270">
        <f>IF(ISNUMBER(M270),ABS(M270),"")</f>
        <v/>
      </c>
    </row>
    <row r="271">
      <c r="L271">
        <f>IF(AND(H271&lt;&gt;"",I271&lt;&gt;""),I271-H271,"")</f>
        <v/>
      </c>
      <c r="M271">
        <f>IF(AND(H271&lt;&gt;"",H271&lt;&gt;0,I271&lt;&gt;""),(I271-H271)/H271*100,"")</f>
        <v/>
      </c>
      <c r="P271">
        <f>IF(ISNUMBER(M271),ABS(M271),"")</f>
        <v/>
      </c>
    </row>
    <row r="272">
      <c r="L272">
        <f>IF(AND(H272&lt;&gt;"",I272&lt;&gt;""),I272-H272,"")</f>
        <v/>
      </c>
      <c r="M272">
        <f>IF(AND(H272&lt;&gt;"",H272&lt;&gt;0,I272&lt;&gt;""),(I272-H272)/H272*100,"")</f>
        <v/>
      </c>
      <c r="P272">
        <f>IF(ISNUMBER(M272),ABS(M272),"")</f>
        <v/>
      </c>
    </row>
    <row r="273">
      <c r="L273">
        <f>IF(AND(H273&lt;&gt;"",I273&lt;&gt;""),I273-H273,"")</f>
        <v/>
      </c>
      <c r="M273">
        <f>IF(AND(H273&lt;&gt;"",H273&lt;&gt;0,I273&lt;&gt;""),(I273-H273)/H273*100,"")</f>
        <v/>
      </c>
      <c r="P273">
        <f>IF(ISNUMBER(M273),ABS(M273),"")</f>
        <v/>
      </c>
    </row>
    <row r="274">
      <c r="L274">
        <f>IF(AND(H274&lt;&gt;"",I274&lt;&gt;""),I274-H274,"")</f>
        <v/>
      </c>
      <c r="M274">
        <f>IF(AND(H274&lt;&gt;"",H274&lt;&gt;0,I274&lt;&gt;""),(I274-H274)/H274*100,"")</f>
        <v/>
      </c>
      <c r="P274">
        <f>IF(ISNUMBER(M274),ABS(M274),"")</f>
        <v/>
      </c>
    </row>
    <row r="275">
      <c r="L275">
        <f>IF(AND(H275&lt;&gt;"",I275&lt;&gt;""),I275-H275,"")</f>
        <v/>
      </c>
      <c r="M275">
        <f>IF(AND(H275&lt;&gt;"",H275&lt;&gt;0,I275&lt;&gt;""),(I275-H275)/H275*100,"")</f>
        <v/>
      </c>
      <c r="P275">
        <f>IF(ISNUMBER(M275),ABS(M275),"")</f>
        <v/>
      </c>
    </row>
    <row r="276">
      <c r="L276">
        <f>IF(AND(H276&lt;&gt;"",I276&lt;&gt;""),I276-H276,"")</f>
        <v/>
      </c>
      <c r="M276">
        <f>IF(AND(H276&lt;&gt;"",H276&lt;&gt;0,I276&lt;&gt;""),(I276-H276)/H276*100,"")</f>
        <v/>
      </c>
      <c r="P276">
        <f>IF(ISNUMBER(M276),ABS(M276),"")</f>
        <v/>
      </c>
    </row>
    <row r="277">
      <c r="L277">
        <f>IF(AND(H277&lt;&gt;"",I277&lt;&gt;""),I277-H277,"")</f>
        <v/>
      </c>
      <c r="M277">
        <f>IF(AND(H277&lt;&gt;"",H277&lt;&gt;0,I277&lt;&gt;""),(I277-H277)/H277*100,"")</f>
        <v/>
      </c>
      <c r="P277">
        <f>IF(ISNUMBER(M277),ABS(M277),"")</f>
        <v/>
      </c>
    </row>
    <row r="278">
      <c r="L278">
        <f>IF(AND(H278&lt;&gt;"",I278&lt;&gt;""),I278-H278,"")</f>
        <v/>
      </c>
      <c r="M278">
        <f>IF(AND(H278&lt;&gt;"",H278&lt;&gt;0,I278&lt;&gt;""),(I278-H278)/H278*100,"")</f>
        <v/>
      </c>
      <c r="P278">
        <f>IF(ISNUMBER(M278),ABS(M278),"")</f>
        <v/>
      </c>
    </row>
    <row r="279">
      <c r="L279">
        <f>IF(AND(H279&lt;&gt;"",I279&lt;&gt;""),I279-H279,"")</f>
        <v/>
      </c>
      <c r="M279">
        <f>IF(AND(H279&lt;&gt;"",H279&lt;&gt;0,I279&lt;&gt;""),(I279-H279)/H279*100,"")</f>
        <v/>
      </c>
      <c r="P279">
        <f>IF(ISNUMBER(M279),ABS(M279),"")</f>
        <v/>
      </c>
    </row>
    <row r="280">
      <c r="L280">
        <f>IF(AND(H280&lt;&gt;"",I280&lt;&gt;""),I280-H280,"")</f>
        <v/>
      </c>
      <c r="M280">
        <f>IF(AND(H280&lt;&gt;"",H280&lt;&gt;0,I280&lt;&gt;""),(I280-H280)/H280*100,"")</f>
        <v/>
      </c>
      <c r="P280">
        <f>IF(ISNUMBER(M280),ABS(M280),"")</f>
        <v/>
      </c>
    </row>
    <row r="281">
      <c r="L281">
        <f>IF(AND(H281&lt;&gt;"",I281&lt;&gt;""),I281-H281,"")</f>
        <v/>
      </c>
      <c r="M281">
        <f>IF(AND(H281&lt;&gt;"",H281&lt;&gt;0,I281&lt;&gt;""),(I281-H281)/H281*100,"")</f>
        <v/>
      </c>
      <c r="P281">
        <f>IF(ISNUMBER(M281),ABS(M281),"")</f>
        <v/>
      </c>
    </row>
    <row r="282">
      <c r="L282">
        <f>IF(AND(H282&lt;&gt;"",I282&lt;&gt;""),I282-H282,"")</f>
        <v/>
      </c>
      <c r="M282">
        <f>IF(AND(H282&lt;&gt;"",H282&lt;&gt;0,I282&lt;&gt;""),(I282-H282)/H282*100,"")</f>
        <v/>
      </c>
      <c r="P282">
        <f>IF(ISNUMBER(M282),ABS(M282),"")</f>
        <v/>
      </c>
    </row>
    <row r="283">
      <c r="L283">
        <f>IF(AND(H283&lt;&gt;"",I283&lt;&gt;""),I283-H283,"")</f>
        <v/>
      </c>
      <c r="M283">
        <f>IF(AND(H283&lt;&gt;"",H283&lt;&gt;0,I283&lt;&gt;""),(I283-H283)/H283*100,"")</f>
        <v/>
      </c>
      <c r="P283">
        <f>IF(ISNUMBER(M283),ABS(M283),"")</f>
        <v/>
      </c>
    </row>
    <row r="284">
      <c r="L284">
        <f>IF(AND(H284&lt;&gt;"",I284&lt;&gt;""),I284-H284,"")</f>
        <v/>
      </c>
      <c r="M284">
        <f>IF(AND(H284&lt;&gt;"",H284&lt;&gt;0,I284&lt;&gt;""),(I284-H284)/H284*100,"")</f>
        <v/>
      </c>
      <c r="P284">
        <f>IF(ISNUMBER(M284),ABS(M284),"")</f>
        <v/>
      </c>
    </row>
    <row r="285">
      <c r="L285">
        <f>IF(AND(H285&lt;&gt;"",I285&lt;&gt;""),I285-H285,"")</f>
        <v/>
      </c>
      <c r="M285">
        <f>IF(AND(H285&lt;&gt;"",H285&lt;&gt;0,I285&lt;&gt;""),(I285-H285)/H285*100,"")</f>
        <v/>
      </c>
      <c r="P285">
        <f>IF(ISNUMBER(M285),ABS(M285),"")</f>
        <v/>
      </c>
    </row>
    <row r="286">
      <c r="L286">
        <f>IF(AND(H286&lt;&gt;"",I286&lt;&gt;""),I286-H286,"")</f>
        <v/>
      </c>
      <c r="M286">
        <f>IF(AND(H286&lt;&gt;"",H286&lt;&gt;0,I286&lt;&gt;""),(I286-H286)/H286*100,"")</f>
        <v/>
      </c>
      <c r="P286">
        <f>IF(ISNUMBER(M286),ABS(M286),"")</f>
        <v/>
      </c>
    </row>
    <row r="287">
      <c r="L287">
        <f>IF(AND(H287&lt;&gt;"",I287&lt;&gt;""),I287-H287,"")</f>
        <v/>
      </c>
      <c r="M287">
        <f>IF(AND(H287&lt;&gt;"",H287&lt;&gt;0,I287&lt;&gt;""),(I287-H287)/H287*100,"")</f>
        <v/>
      </c>
      <c r="P287">
        <f>IF(ISNUMBER(M287),ABS(M287),"")</f>
        <v/>
      </c>
    </row>
    <row r="288">
      <c r="L288">
        <f>IF(AND(H288&lt;&gt;"",I288&lt;&gt;""),I288-H288,"")</f>
        <v/>
      </c>
      <c r="M288">
        <f>IF(AND(H288&lt;&gt;"",H288&lt;&gt;0,I288&lt;&gt;""),(I288-H288)/H288*100,"")</f>
        <v/>
      </c>
      <c r="P288">
        <f>IF(ISNUMBER(M288),ABS(M288),"")</f>
        <v/>
      </c>
    </row>
    <row r="289">
      <c r="L289">
        <f>IF(AND(H289&lt;&gt;"",I289&lt;&gt;""),I289-H289,"")</f>
        <v/>
      </c>
      <c r="M289">
        <f>IF(AND(H289&lt;&gt;"",H289&lt;&gt;0,I289&lt;&gt;""),(I289-H289)/H289*100,"")</f>
        <v/>
      </c>
      <c r="P289">
        <f>IF(ISNUMBER(M289),ABS(M289),"")</f>
        <v/>
      </c>
    </row>
    <row r="290">
      <c r="L290">
        <f>IF(AND(H290&lt;&gt;"",I290&lt;&gt;""),I290-H290,"")</f>
        <v/>
      </c>
      <c r="M290">
        <f>IF(AND(H290&lt;&gt;"",H290&lt;&gt;0,I290&lt;&gt;""),(I290-H290)/H290*100,"")</f>
        <v/>
      </c>
      <c r="P290">
        <f>IF(ISNUMBER(M290),ABS(M290),"")</f>
        <v/>
      </c>
    </row>
    <row r="291">
      <c r="L291">
        <f>IF(AND(H291&lt;&gt;"",I291&lt;&gt;""),I291-H291,"")</f>
        <v/>
      </c>
      <c r="M291">
        <f>IF(AND(H291&lt;&gt;"",H291&lt;&gt;0,I291&lt;&gt;""),(I291-H291)/H291*100,"")</f>
        <v/>
      </c>
      <c r="P291">
        <f>IF(ISNUMBER(M291),ABS(M291),"")</f>
        <v/>
      </c>
    </row>
    <row r="292">
      <c r="L292">
        <f>IF(AND(H292&lt;&gt;"",I292&lt;&gt;""),I292-H292,"")</f>
        <v/>
      </c>
      <c r="M292">
        <f>IF(AND(H292&lt;&gt;"",H292&lt;&gt;0,I292&lt;&gt;""),(I292-H292)/H292*100,"")</f>
        <v/>
      </c>
      <c r="P292">
        <f>IF(ISNUMBER(M292),ABS(M292),"")</f>
        <v/>
      </c>
    </row>
    <row r="293">
      <c r="L293">
        <f>IF(AND(H293&lt;&gt;"",I293&lt;&gt;""),I293-H293,"")</f>
        <v/>
      </c>
      <c r="M293">
        <f>IF(AND(H293&lt;&gt;"",H293&lt;&gt;0,I293&lt;&gt;""),(I293-H293)/H293*100,"")</f>
        <v/>
      </c>
      <c r="P293">
        <f>IF(ISNUMBER(M293),ABS(M293),"")</f>
        <v/>
      </c>
    </row>
    <row r="294">
      <c r="L294">
        <f>IF(AND(H294&lt;&gt;"",I294&lt;&gt;""),I294-H294,"")</f>
        <v/>
      </c>
      <c r="M294">
        <f>IF(AND(H294&lt;&gt;"",H294&lt;&gt;0,I294&lt;&gt;""),(I294-H294)/H294*100,"")</f>
        <v/>
      </c>
      <c r="P294">
        <f>IF(ISNUMBER(M294),ABS(M294),"")</f>
        <v/>
      </c>
    </row>
    <row r="295">
      <c r="L295">
        <f>IF(AND(H295&lt;&gt;"",I295&lt;&gt;""),I295-H295,"")</f>
        <v/>
      </c>
      <c r="M295">
        <f>IF(AND(H295&lt;&gt;"",H295&lt;&gt;0,I295&lt;&gt;""),(I295-H295)/H295*100,"")</f>
        <v/>
      </c>
      <c r="P295">
        <f>IF(ISNUMBER(M295),ABS(M295),"")</f>
        <v/>
      </c>
    </row>
    <row r="296">
      <c r="L296">
        <f>IF(AND(H296&lt;&gt;"",I296&lt;&gt;""),I296-H296,"")</f>
        <v/>
      </c>
      <c r="M296">
        <f>IF(AND(H296&lt;&gt;"",H296&lt;&gt;0,I296&lt;&gt;""),(I296-H296)/H296*100,"")</f>
        <v/>
      </c>
      <c r="P296">
        <f>IF(ISNUMBER(M296),ABS(M296),"")</f>
        <v/>
      </c>
    </row>
    <row r="297">
      <c r="L297">
        <f>IF(AND(H297&lt;&gt;"",I297&lt;&gt;""),I297-H297,"")</f>
        <v/>
      </c>
      <c r="M297">
        <f>IF(AND(H297&lt;&gt;"",H297&lt;&gt;0,I297&lt;&gt;""),(I297-H297)/H297*100,"")</f>
        <v/>
      </c>
      <c r="P297">
        <f>IF(ISNUMBER(M297),ABS(M297),"")</f>
        <v/>
      </c>
    </row>
    <row r="298">
      <c r="L298">
        <f>IF(AND(H298&lt;&gt;"",I298&lt;&gt;""),I298-H298,"")</f>
        <v/>
      </c>
      <c r="M298">
        <f>IF(AND(H298&lt;&gt;"",H298&lt;&gt;0,I298&lt;&gt;""),(I298-H298)/H298*100,"")</f>
        <v/>
      </c>
      <c r="P298">
        <f>IF(ISNUMBER(M298),ABS(M298),"")</f>
        <v/>
      </c>
    </row>
    <row r="299">
      <c r="L299">
        <f>IF(AND(H299&lt;&gt;"",I299&lt;&gt;""),I299-H299,"")</f>
        <v/>
      </c>
      <c r="M299">
        <f>IF(AND(H299&lt;&gt;"",H299&lt;&gt;0,I299&lt;&gt;""),(I299-H299)/H299*100,"")</f>
        <v/>
      </c>
      <c r="P299">
        <f>IF(ISNUMBER(M299),ABS(M299),"")</f>
        <v/>
      </c>
    </row>
    <row r="300">
      <c r="L300">
        <f>IF(AND(H300&lt;&gt;"",I300&lt;&gt;""),I300-H300,"")</f>
        <v/>
      </c>
      <c r="M300">
        <f>IF(AND(H300&lt;&gt;"",H300&lt;&gt;0,I300&lt;&gt;""),(I300-H300)/H300*100,"")</f>
        <v/>
      </c>
      <c r="P300">
        <f>IF(ISNUMBER(M300),ABS(M300),"")</f>
        <v/>
      </c>
    </row>
    <row r="301">
      <c r="L301">
        <f>IF(AND(H301&lt;&gt;"",I301&lt;&gt;""),I301-H301,"")</f>
        <v/>
      </c>
      <c r="M301">
        <f>IF(AND(H301&lt;&gt;"",H301&lt;&gt;0,I301&lt;&gt;""),(I301-H301)/H301*100,"")</f>
        <v/>
      </c>
      <c r="P301">
        <f>IF(ISNUMBER(M301),ABS(M301),"")</f>
        <v/>
      </c>
    </row>
    <row r="302">
      <c r="L302">
        <f>IF(AND(H302&lt;&gt;"",I302&lt;&gt;""),I302-H302,"")</f>
        <v/>
      </c>
      <c r="M302">
        <f>IF(AND(H302&lt;&gt;"",H302&lt;&gt;0,I302&lt;&gt;""),(I302-H302)/H302*100,"")</f>
        <v/>
      </c>
      <c r="P302">
        <f>IF(ISNUMBER(M302),ABS(M302),"")</f>
        <v/>
      </c>
    </row>
    <row r="303">
      <c r="L303">
        <f>IF(AND(H303&lt;&gt;"",I303&lt;&gt;""),I303-H303,"")</f>
        <v/>
      </c>
      <c r="M303">
        <f>IF(AND(H303&lt;&gt;"",H303&lt;&gt;0,I303&lt;&gt;""),(I303-H303)/H303*100,"")</f>
        <v/>
      </c>
      <c r="P303">
        <f>IF(ISNUMBER(M303),ABS(M303),"")</f>
        <v/>
      </c>
    </row>
    <row r="304">
      <c r="L304">
        <f>IF(AND(H304&lt;&gt;"",I304&lt;&gt;""),I304-H304,"")</f>
        <v/>
      </c>
      <c r="M304">
        <f>IF(AND(H304&lt;&gt;"",H304&lt;&gt;0,I304&lt;&gt;""),(I304-H304)/H304*100,"")</f>
        <v/>
      </c>
      <c r="P304">
        <f>IF(ISNUMBER(M304),ABS(M304),"")</f>
        <v/>
      </c>
    </row>
    <row r="305">
      <c r="L305">
        <f>IF(AND(H305&lt;&gt;"",I305&lt;&gt;""),I305-H305,"")</f>
        <v/>
      </c>
      <c r="M305">
        <f>IF(AND(H305&lt;&gt;"",H305&lt;&gt;0,I305&lt;&gt;""),(I305-H305)/H305*100,"")</f>
        <v/>
      </c>
      <c r="P305">
        <f>IF(ISNUMBER(M305),ABS(M305),"")</f>
        <v/>
      </c>
    </row>
    <row r="306">
      <c r="L306">
        <f>IF(AND(H306&lt;&gt;"",I306&lt;&gt;""),I306-H306,"")</f>
        <v/>
      </c>
      <c r="M306">
        <f>IF(AND(H306&lt;&gt;"",H306&lt;&gt;0,I306&lt;&gt;""),(I306-H306)/H306*100,"")</f>
        <v/>
      </c>
      <c r="P306">
        <f>IF(ISNUMBER(M306),ABS(M306),"")</f>
        <v/>
      </c>
    </row>
    <row r="307">
      <c r="L307">
        <f>IF(AND(H307&lt;&gt;"",I307&lt;&gt;""),I307-H307,"")</f>
        <v/>
      </c>
      <c r="M307">
        <f>IF(AND(H307&lt;&gt;"",H307&lt;&gt;0,I307&lt;&gt;""),(I307-H307)/H307*100,"")</f>
        <v/>
      </c>
      <c r="P307">
        <f>IF(ISNUMBER(M307),ABS(M307),"")</f>
        <v/>
      </c>
    </row>
    <row r="308">
      <c r="L308">
        <f>IF(AND(H308&lt;&gt;"",I308&lt;&gt;""),I308-H308,"")</f>
        <v/>
      </c>
      <c r="M308">
        <f>IF(AND(H308&lt;&gt;"",H308&lt;&gt;0,I308&lt;&gt;""),(I308-H308)/H308*100,"")</f>
        <v/>
      </c>
      <c r="P308">
        <f>IF(ISNUMBER(M308),ABS(M308),"")</f>
        <v/>
      </c>
    </row>
    <row r="309">
      <c r="L309">
        <f>IF(AND(H309&lt;&gt;"",I309&lt;&gt;""),I309-H309,"")</f>
        <v/>
      </c>
      <c r="M309">
        <f>IF(AND(H309&lt;&gt;"",H309&lt;&gt;0,I309&lt;&gt;""),(I309-H309)/H309*100,"")</f>
        <v/>
      </c>
      <c r="P309">
        <f>IF(ISNUMBER(M309),ABS(M309),"")</f>
        <v/>
      </c>
    </row>
    <row r="310">
      <c r="L310">
        <f>IF(AND(H310&lt;&gt;"",I310&lt;&gt;""),I310-H310,"")</f>
        <v/>
      </c>
      <c r="M310">
        <f>IF(AND(H310&lt;&gt;"",H310&lt;&gt;0,I310&lt;&gt;""),(I310-H310)/H310*100,"")</f>
        <v/>
      </c>
      <c r="P310">
        <f>IF(ISNUMBER(M310),ABS(M310),"")</f>
        <v/>
      </c>
    </row>
    <row r="311">
      <c r="L311">
        <f>IF(AND(H311&lt;&gt;"",I311&lt;&gt;""),I311-H311,"")</f>
        <v/>
      </c>
      <c r="M311">
        <f>IF(AND(H311&lt;&gt;"",H311&lt;&gt;0,I311&lt;&gt;""),(I311-H311)/H311*100,"")</f>
        <v/>
      </c>
      <c r="P311">
        <f>IF(ISNUMBER(M311),ABS(M311),"")</f>
        <v/>
      </c>
    </row>
    <row r="312">
      <c r="L312">
        <f>IF(AND(H312&lt;&gt;"",I312&lt;&gt;""),I312-H312,"")</f>
        <v/>
      </c>
      <c r="M312">
        <f>IF(AND(H312&lt;&gt;"",H312&lt;&gt;0,I312&lt;&gt;""),(I312-H312)/H312*100,"")</f>
        <v/>
      </c>
      <c r="P312">
        <f>IF(ISNUMBER(M312),ABS(M312),"")</f>
        <v/>
      </c>
    </row>
    <row r="313">
      <c r="L313">
        <f>IF(AND(H313&lt;&gt;"",I313&lt;&gt;""),I313-H313,"")</f>
        <v/>
      </c>
      <c r="M313">
        <f>IF(AND(H313&lt;&gt;"",H313&lt;&gt;0,I313&lt;&gt;""),(I313-H313)/H313*100,"")</f>
        <v/>
      </c>
      <c r="P313">
        <f>IF(ISNUMBER(M313),ABS(M313),"")</f>
        <v/>
      </c>
    </row>
    <row r="314">
      <c r="L314">
        <f>IF(AND(H314&lt;&gt;"",I314&lt;&gt;""),I314-H314,"")</f>
        <v/>
      </c>
      <c r="M314">
        <f>IF(AND(H314&lt;&gt;"",H314&lt;&gt;0,I314&lt;&gt;""),(I314-H314)/H314*100,"")</f>
        <v/>
      </c>
      <c r="P314">
        <f>IF(ISNUMBER(M314),ABS(M314),"")</f>
        <v/>
      </c>
    </row>
    <row r="315">
      <c r="L315">
        <f>IF(AND(H315&lt;&gt;"",I315&lt;&gt;""),I315-H315,"")</f>
        <v/>
      </c>
      <c r="M315">
        <f>IF(AND(H315&lt;&gt;"",H315&lt;&gt;0,I315&lt;&gt;""),(I315-H315)/H315*100,"")</f>
        <v/>
      </c>
      <c r="P315">
        <f>IF(ISNUMBER(M315),ABS(M315),"")</f>
        <v/>
      </c>
    </row>
    <row r="316">
      <c r="L316">
        <f>IF(AND(H316&lt;&gt;"",I316&lt;&gt;""),I316-H316,"")</f>
        <v/>
      </c>
      <c r="M316">
        <f>IF(AND(H316&lt;&gt;"",H316&lt;&gt;0,I316&lt;&gt;""),(I316-H316)/H316*100,"")</f>
        <v/>
      </c>
      <c r="P316">
        <f>IF(ISNUMBER(M316),ABS(M316),"")</f>
        <v/>
      </c>
    </row>
    <row r="317">
      <c r="L317">
        <f>IF(AND(H317&lt;&gt;"",I317&lt;&gt;""),I317-H317,"")</f>
        <v/>
      </c>
      <c r="M317">
        <f>IF(AND(H317&lt;&gt;"",H317&lt;&gt;0,I317&lt;&gt;""),(I317-H317)/H317*100,"")</f>
        <v/>
      </c>
      <c r="P317">
        <f>IF(ISNUMBER(M317),ABS(M317),"")</f>
        <v/>
      </c>
    </row>
    <row r="318">
      <c r="L318">
        <f>IF(AND(H318&lt;&gt;"",I318&lt;&gt;""),I318-H318,"")</f>
        <v/>
      </c>
      <c r="M318">
        <f>IF(AND(H318&lt;&gt;"",H318&lt;&gt;0,I318&lt;&gt;""),(I318-H318)/H318*100,"")</f>
        <v/>
      </c>
      <c r="P318">
        <f>IF(ISNUMBER(M318),ABS(M318),"")</f>
        <v/>
      </c>
    </row>
    <row r="319">
      <c r="L319">
        <f>IF(AND(H319&lt;&gt;"",I319&lt;&gt;""),I319-H319,"")</f>
        <v/>
      </c>
      <c r="M319">
        <f>IF(AND(H319&lt;&gt;"",H319&lt;&gt;0,I319&lt;&gt;""),(I319-H319)/H319*100,"")</f>
        <v/>
      </c>
      <c r="P319">
        <f>IF(ISNUMBER(M319),ABS(M319),"")</f>
        <v/>
      </c>
    </row>
    <row r="320">
      <c r="L320">
        <f>IF(AND(H320&lt;&gt;"",I320&lt;&gt;""),I320-H320,"")</f>
        <v/>
      </c>
      <c r="M320">
        <f>IF(AND(H320&lt;&gt;"",H320&lt;&gt;0,I320&lt;&gt;""),(I320-H320)/H320*100,"")</f>
        <v/>
      </c>
      <c r="P320">
        <f>IF(ISNUMBER(M320),ABS(M320),"")</f>
        <v/>
      </c>
    </row>
    <row r="321">
      <c r="L321">
        <f>IF(AND(H321&lt;&gt;"",I321&lt;&gt;""),I321-H321,"")</f>
        <v/>
      </c>
      <c r="M321">
        <f>IF(AND(H321&lt;&gt;"",H321&lt;&gt;0,I321&lt;&gt;""),(I321-H321)/H321*100,"")</f>
        <v/>
      </c>
      <c r="P321">
        <f>IF(ISNUMBER(M321),ABS(M321),"")</f>
        <v/>
      </c>
    </row>
    <row r="322">
      <c r="L322">
        <f>IF(AND(H322&lt;&gt;"",I322&lt;&gt;""),I322-H322,"")</f>
        <v/>
      </c>
      <c r="M322">
        <f>IF(AND(H322&lt;&gt;"",H322&lt;&gt;0,I322&lt;&gt;""),(I322-H322)/H322*100,"")</f>
        <v/>
      </c>
      <c r="P322">
        <f>IF(ISNUMBER(M322),ABS(M322),"")</f>
        <v/>
      </c>
    </row>
    <row r="323">
      <c r="L323">
        <f>IF(AND(H323&lt;&gt;"",I323&lt;&gt;""),I323-H323,"")</f>
        <v/>
      </c>
      <c r="M323">
        <f>IF(AND(H323&lt;&gt;"",H323&lt;&gt;0,I323&lt;&gt;""),(I323-H323)/H323*100,"")</f>
        <v/>
      </c>
      <c r="P323">
        <f>IF(ISNUMBER(M323),ABS(M323),"")</f>
        <v/>
      </c>
    </row>
    <row r="324">
      <c r="L324">
        <f>IF(AND(H324&lt;&gt;"",I324&lt;&gt;""),I324-H324,"")</f>
        <v/>
      </c>
      <c r="M324">
        <f>IF(AND(H324&lt;&gt;"",H324&lt;&gt;0,I324&lt;&gt;""),(I324-H324)/H324*100,"")</f>
        <v/>
      </c>
      <c r="P324">
        <f>IF(ISNUMBER(M324),ABS(M324),"")</f>
        <v/>
      </c>
    </row>
    <row r="325">
      <c r="L325">
        <f>IF(AND(H325&lt;&gt;"",I325&lt;&gt;""),I325-H325,"")</f>
        <v/>
      </c>
      <c r="M325">
        <f>IF(AND(H325&lt;&gt;"",H325&lt;&gt;0,I325&lt;&gt;""),(I325-H325)/H325*100,"")</f>
        <v/>
      </c>
      <c r="P325">
        <f>IF(ISNUMBER(M325),ABS(M325),"")</f>
        <v/>
      </c>
    </row>
    <row r="326">
      <c r="L326">
        <f>IF(AND(H326&lt;&gt;"",I326&lt;&gt;""),I326-H326,"")</f>
        <v/>
      </c>
      <c r="M326">
        <f>IF(AND(H326&lt;&gt;"",H326&lt;&gt;0,I326&lt;&gt;""),(I326-H326)/H326*100,"")</f>
        <v/>
      </c>
      <c r="P326">
        <f>IF(ISNUMBER(M326),ABS(M326),"")</f>
        <v/>
      </c>
    </row>
    <row r="327">
      <c r="L327">
        <f>IF(AND(H327&lt;&gt;"",I327&lt;&gt;""),I327-H327,"")</f>
        <v/>
      </c>
      <c r="M327">
        <f>IF(AND(H327&lt;&gt;"",H327&lt;&gt;0,I327&lt;&gt;""),(I327-H327)/H327*100,"")</f>
        <v/>
      </c>
      <c r="P327">
        <f>IF(ISNUMBER(M327),ABS(M327),"")</f>
        <v/>
      </c>
    </row>
    <row r="328">
      <c r="L328">
        <f>IF(AND(H328&lt;&gt;"",I328&lt;&gt;""),I328-H328,"")</f>
        <v/>
      </c>
      <c r="M328">
        <f>IF(AND(H328&lt;&gt;"",H328&lt;&gt;0,I328&lt;&gt;""),(I328-H328)/H328*100,"")</f>
        <v/>
      </c>
      <c r="P328">
        <f>IF(ISNUMBER(M328),ABS(M328),"")</f>
        <v/>
      </c>
    </row>
    <row r="329">
      <c r="L329">
        <f>IF(AND(H329&lt;&gt;"",I329&lt;&gt;""),I329-H329,"")</f>
        <v/>
      </c>
      <c r="M329">
        <f>IF(AND(H329&lt;&gt;"",H329&lt;&gt;0,I329&lt;&gt;""),(I329-H329)/H329*100,"")</f>
        <v/>
      </c>
      <c r="P329">
        <f>IF(ISNUMBER(M329),ABS(M329),"")</f>
        <v/>
      </c>
    </row>
    <row r="330">
      <c r="L330">
        <f>IF(AND(H330&lt;&gt;"",I330&lt;&gt;""),I330-H330,"")</f>
        <v/>
      </c>
      <c r="M330">
        <f>IF(AND(H330&lt;&gt;"",H330&lt;&gt;0,I330&lt;&gt;""),(I330-H330)/H330*100,"")</f>
        <v/>
      </c>
      <c r="P330">
        <f>IF(ISNUMBER(M330),ABS(M330),"")</f>
        <v/>
      </c>
    </row>
    <row r="331">
      <c r="L331">
        <f>IF(AND(H331&lt;&gt;"",I331&lt;&gt;""),I331-H331,"")</f>
        <v/>
      </c>
      <c r="M331">
        <f>IF(AND(H331&lt;&gt;"",H331&lt;&gt;0,I331&lt;&gt;""),(I331-H331)/H331*100,"")</f>
        <v/>
      </c>
      <c r="P331">
        <f>IF(ISNUMBER(M331),ABS(M331),"")</f>
        <v/>
      </c>
    </row>
    <row r="332">
      <c r="L332">
        <f>IF(AND(H332&lt;&gt;"",I332&lt;&gt;""),I332-H332,"")</f>
        <v/>
      </c>
      <c r="M332">
        <f>IF(AND(H332&lt;&gt;"",H332&lt;&gt;0,I332&lt;&gt;""),(I332-H332)/H332*100,"")</f>
        <v/>
      </c>
      <c r="P332">
        <f>IF(ISNUMBER(M332),ABS(M332),"")</f>
        <v/>
      </c>
    </row>
    <row r="333">
      <c r="L333">
        <f>IF(AND(H333&lt;&gt;"",I333&lt;&gt;""),I333-H333,"")</f>
        <v/>
      </c>
      <c r="M333">
        <f>IF(AND(H333&lt;&gt;"",H333&lt;&gt;0,I333&lt;&gt;""),(I333-H333)/H333*100,"")</f>
        <v/>
      </c>
      <c r="P333">
        <f>IF(ISNUMBER(M333),ABS(M333),"")</f>
        <v/>
      </c>
    </row>
    <row r="334">
      <c r="L334">
        <f>IF(AND(H334&lt;&gt;"",I334&lt;&gt;""),I334-H334,"")</f>
        <v/>
      </c>
      <c r="M334">
        <f>IF(AND(H334&lt;&gt;"",H334&lt;&gt;0,I334&lt;&gt;""),(I334-H334)/H334*100,"")</f>
        <v/>
      </c>
      <c r="P334">
        <f>IF(ISNUMBER(M334),ABS(M334),"")</f>
        <v/>
      </c>
    </row>
    <row r="335">
      <c r="L335">
        <f>IF(AND(H335&lt;&gt;"",I335&lt;&gt;""),I335-H335,"")</f>
        <v/>
      </c>
      <c r="M335">
        <f>IF(AND(H335&lt;&gt;"",H335&lt;&gt;0,I335&lt;&gt;""),(I335-H335)/H335*100,"")</f>
        <v/>
      </c>
      <c r="P335">
        <f>IF(ISNUMBER(M335),ABS(M335),"")</f>
        <v/>
      </c>
    </row>
    <row r="336">
      <c r="L336">
        <f>IF(AND(H336&lt;&gt;"",I336&lt;&gt;""),I336-H336,"")</f>
        <v/>
      </c>
      <c r="M336">
        <f>IF(AND(H336&lt;&gt;"",H336&lt;&gt;0,I336&lt;&gt;""),(I336-H336)/H336*100,"")</f>
        <v/>
      </c>
      <c r="P336">
        <f>IF(ISNUMBER(M336),ABS(M336),"")</f>
        <v/>
      </c>
    </row>
    <row r="337">
      <c r="L337">
        <f>IF(AND(H337&lt;&gt;"",I337&lt;&gt;""),I337-H337,"")</f>
        <v/>
      </c>
      <c r="M337">
        <f>IF(AND(H337&lt;&gt;"",H337&lt;&gt;0,I337&lt;&gt;""),(I337-H337)/H337*100,"")</f>
        <v/>
      </c>
      <c r="P337">
        <f>IF(ISNUMBER(M337),ABS(M337),"")</f>
        <v/>
      </c>
    </row>
    <row r="338">
      <c r="L338">
        <f>IF(AND(H338&lt;&gt;"",I338&lt;&gt;""),I338-H338,"")</f>
        <v/>
      </c>
      <c r="M338">
        <f>IF(AND(H338&lt;&gt;"",H338&lt;&gt;0,I338&lt;&gt;""),(I338-H338)/H338*100,"")</f>
        <v/>
      </c>
      <c r="P338">
        <f>IF(ISNUMBER(M338),ABS(M338),"")</f>
        <v/>
      </c>
    </row>
    <row r="339">
      <c r="L339">
        <f>IF(AND(H339&lt;&gt;"",I339&lt;&gt;""),I339-H339,"")</f>
        <v/>
      </c>
      <c r="M339">
        <f>IF(AND(H339&lt;&gt;"",H339&lt;&gt;0,I339&lt;&gt;""),(I339-H339)/H339*100,"")</f>
        <v/>
      </c>
      <c r="P339">
        <f>IF(ISNUMBER(M339),ABS(M339),"")</f>
        <v/>
      </c>
    </row>
    <row r="340">
      <c r="L340">
        <f>IF(AND(H340&lt;&gt;"",I340&lt;&gt;""),I340-H340,"")</f>
        <v/>
      </c>
      <c r="M340">
        <f>IF(AND(H340&lt;&gt;"",H340&lt;&gt;0,I340&lt;&gt;""),(I340-H340)/H340*100,"")</f>
        <v/>
      </c>
      <c r="P340">
        <f>IF(ISNUMBER(M340),ABS(M340),"")</f>
        <v/>
      </c>
    </row>
    <row r="341">
      <c r="L341">
        <f>IF(AND(H341&lt;&gt;"",I341&lt;&gt;""),I341-H341,"")</f>
        <v/>
      </c>
      <c r="M341">
        <f>IF(AND(H341&lt;&gt;"",H341&lt;&gt;0,I341&lt;&gt;""),(I341-H341)/H341*100,"")</f>
        <v/>
      </c>
      <c r="P341">
        <f>IF(ISNUMBER(M341),ABS(M341),"")</f>
        <v/>
      </c>
    </row>
    <row r="342">
      <c r="L342">
        <f>IF(AND(H342&lt;&gt;"",I342&lt;&gt;""),I342-H342,"")</f>
        <v/>
      </c>
      <c r="M342">
        <f>IF(AND(H342&lt;&gt;"",H342&lt;&gt;0,I342&lt;&gt;""),(I342-H342)/H342*100,"")</f>
        <v/>
      </c>
      <c r="P342">
        <f>IF(ISNUMBER(M342),ABS(M342),"")</f>
        <v/>
      </c>
    </row>
    <row r="343">
      <c r="L343">
        <f>IF(AND(H343&lt;&gt;"",I343&lt;&gt;""),I343-H343,"")</f>
        <v/>
      </c>
      <c r="M343">
        <f>IF(AND(H343&lt;&gt;"",H343&lt;&gt;0,I343&lt;&gt;""),(I343-H343)/H343*100,"")</f>
        <v/>
      </c>
      <c r="P343">
        <f>IF(ISNUMBER(M343),ABS(M343),"")</f>
        <v/>
      </c>
    </row>
    <row r="344">
      <c r="L344">
        <f>IF(AND(H344&lt;&gt;"",I344&lt;&gt;""),I344-H344,"")</f>
        <v/>
      </c>
      <c r="M344">
        <f>IF(AND(H344&lt;&gt;"",H344&lt;&gt;0,I344&lt;&gt;""),(I344-H344)/H344*100,"")</f>
        <v/>
      </c>
      <c r="P344">
        <f>IF(ISNUMBER(M344),ABS(M344),"")</f>
        <v/>
      </c>
    </row>
    <row r="345">
      <c r="L345">
        <f>IF(AND(H345&lt;&gt;"",I345&lt;&gt;""),I345-H345,"")</f>
        <v/>
      </c>
      <c r="M345">
        <f>IF(AND(H345&lt;&gt;"",H345&lt;&gt;0,I345&lt;&gt;""),(I345-H345)/H345*100,"")</f>
        <v/>
      </c>
      <c r="P345">
        <f>IF(ISNUMBER(M345),ABS(M345),"")</f>
        <v/>
      </c>
    </row>
    <row r="346">
      <c r="L346">
        <f>IF(AND(H346&lt;&gt;"",I346&lt;&gt;""),I346-H346,"")</f>
        <v/>
      </c>
      <c r="M346">
        <f>IF(AND(H346&lt;&gt;"",H346&lt;&gt;0,I346&lt;&gt;""),(I346-H346)/H346*100,"")</f>
        <v/>
      </c>
      <c r="P346">
        <f>IF(ISNUMBER(M346),ABS(M346),"")</f>
        <v/>
      </c>
    </row>
    <row r="347">
      <c r="L347">
        <f>IF(AND(H347&lt;&gt;"",I347&lt;&gt;""),I347-H347,"")</f>
        <v/>
      </c>
      <c r="M347">
        <f>IF(AND(H347&lt;&gt;"",H347&lt;&gt;0,I347&lt;&gt;""),(I347-H347)/H347*100,"")</f>
        <v/>
      </c>
      <c r="P347">
        <f>IF(ISNUMBER(M347),ABS(M347),"")</f>
        <v/>
      </c>
    </row>
    <row r="348">
      <c r="L348">
        <f>IF(AND(H348&lt;&gt;"",I348&lt;&gt;""),I348-H348,"")</f>
        <v/>
      </c>
      <c r="M348">
        <f>IF(AND(H348&lt;&gt;"",H348&lt;&gt;0,I348&lt;&gt;""),(I348-H348)/H348*100,"")</f>
        <v/>
      </c>
      <c r="P348">
        <f>IF(ISNUMBER(M348),ABS(M348),"")</f>
        <v/>
      </c>
    </row>
    <row r="349">
      <c r="L349">
        <f>IF(AND(H349&lt;&gt;"",I349&lt;&gt;""),I349-H349,"")</f>
        <v/>
      </c>
      <c r="M349">
        <f>IF(AND(H349&lt;&gt;"",H349&lt;&gt;0,I349&lt;&gt;""),(I349-H349)/H349*100,"")</f>
        <v/>
      </c>
      <c r="P349">
        <f>IF(ISNUMBER(M349),ABS(M349),"")</f>
        <v/>
      </c>
    </row>
    <row r="350">
      <c r="L350">
        <f>IF(AND(H350&lt;&gt;"",I350&lt;&gt;""),I350-H350,"")</f>
        <v/>
      </c>
      <c r="M350">
        <f>IF(AND(H350&lt;&gt;"",H350&lt;&gt;0,I350&lt;&gt;""),(I350-H350)/H350*100,"")</f>
        <v/>
      </c>
      <c r="P350">
        <f>IF(ISNUMBER(M350),ABS(M350),"")</f>
        <v/>
      </c>
    </row>
    <row r="351">
      <c r="L351">
        <f>IF(AND(H351&lt;&gt;"",I351&lt;&gt;""),I351-H351,"")</f>
        <v/>
      </c>
      <c r="M351">
        <f>IF(AND(H351&lt;&gt;"",H351&lt;&gt;0,I351&lt;&gt;""),(I351-H351)/H351*100,"")</f>
        <v/>
      </c>
      <c r="P351">
        <f>IF(ISNUMBER(M351),ABS(M351),"")</f>
        <v/>
      </c>
    </row>
    <row r="352">
      <c r="L352">
        <f>IF(AND(H352&lt;&gt;"",I352&lt;&gt;""),I352-H352,"")</f>
        <v/>
      </c>
      <c r="M352">
        <f>IF(AND(H352&lt;&gt;"",H352&lt;&gt;0,I352&lt;&gt;""),(I352-H352)/H352*100,"")</f>
        <v/>
      </c>
      <c r="P352">
        <f>IF(ISNUMBER(M352),ABS(M352),"")</f>
        <v/>
      </c>
    </row>
    <row r="353">
      <c r="L353">
        <f>IF(AND(H353&lt;&gt;"",I353&lt;&gt;""),I353-H353,"")</f>
        <v/>
      </c>
      <c r="M353">
        <f>IF(AND(H353&lt;&gt;"",H353&lt;&gt;0,I353&lt;&gt;""),(I353-H353)/H353*100,"")</f>
        <v/>
      </c>
      <c r="P353">
        <f>IF(ISNUMBER(M353),ABS(M353),"")</f>
        <v/>
      </c>
    </row>
    <row r="354">
      <c r="L354">
        <f>IF(AND(H354&lt;&gt;"",I354&lt;&gt;""),I354-H354,"")</f>
        <v/>
      </c>
      <c r="M354">
        <f>IF(AND(H354&lt;&gt;"",H354&lt;&gt;0,I354&lt;&gt;""),(I354-H354)/H354*100,"")</f>
        <v/>
      </c>
      <c r="P354">
        <f>IF(ISNUMBER(M354),ABS(M354),"")</f>
        <v/>
      </c>
    </row>
    <row r="355">
      <c r="L355">
        <f>IF(AND(H355&lt;&gt;"",I355&lt;&gt;""),I355-H355,"")</f>
        <v/>
      </c>
      <c r="M355">
        <f>IF(AND(H355&lt;&gt;"",H355&lt;&gt;0,I355&lt;&gt;""),(I355-H355)/H355*100,"")</f>
        <v/>
      </c>
      <c r="P355">
        <f>IF(ISNUMBER(M355),ABS(M355),"")</f>
        <v/>
      </c>
    </row>
    <row r="356">
      <c r="L356">
        <f>IF(AND(H356&lt;&gt;"",I356&lt;&gt;""),I356-H356,"")</f>
        <v/>
      </c>
      <c r="M356">
        <f>IF(AND(H356&lt;&gt;"",H356&lt;&gt;0,I356&lt;&gt;""),(I356-H356)/H356*100,"")</f>
        <v/>
      </c>
      <c r="P356">
        <f>IF(ISNUMBER(M356),ABS(M356),"")</f>
        <v/>
      </c>
    </row>
    <row r="357">
      <c r="L357">
        <f>IF(AND(H357&lt;&gt;"",I357&lt;&gt;""),I357-H357,"")</f>
        <v/>
      </c>
      <c r="M357">
        <f>IF(AND(H357&lt;&gt;"",H357&lt;&gt;0,I357&lt;&gt;""),(I357-H357)/H357*100,"")</f>
        <v/>
      </c>
      <c r="P357">
        <f>IF(ISNUMBER(M357),ABS(M357),"")</f>
        <v/>
      </c>
    </row>
    <row r="358">
      <c r="L358">
        <f>IF(AND(H358&lt;&gt;"",I358&lt;&gt;""),I358-H358,"")</f>
        <v/>
      </c>
      <c r="M358">
        <f>IF(AND(H358&lt;&gt;"",H358&lt;&gt;0,I358&lt;&gt;""),(I358-H358)/H358*100,"")</f>
        <v/>
      </c>
      <c r="P358">
        <f>IF(ISNUMBER(M358),ABS(M358),"")</f>
        <v/>
      </c>
    </row>
    <row r="359">
      <c r="L359">
        <f>IF(AND(H359&lt;&gt;"",I359&lt;&gt;""),I359-H359,"")</f>
        <v/>
      </c>
      <c r="M359">
        <f>IF(AND(H359&lt;&gt;"",H359&lt;&gt;0,I359&lt;&gt;""),(I359-H359)/H359*100,"")</f>
        <v/>
      </c>
      <c r="P359">
        <f>IF(ISNUMBER(M359),ABS(M359),"")</f>
        <v/>
      </c>
    </row>
    <row r="360">
      <c r="L360">
        <f>IF(AND(H360&lt;&gt;"",I360&lt;&gt;""),I360-H360,"")</f>
        <v/>
      </c>
      <c r="M360">
        <f>IF(AND(H360&lt;&gt;"",H360&lt;&gt;0,I360&lt;&gt;""),(I360-H360)/H360*100,"")</f>
        <v/>
      </c>
      <c r="P360">
        <f>IF(ISNUMBER(M360),ABS(M360),"")</f>
        <v/>
      </c>
    </row>
    <row r="361">
      <c r="L361">
        <f>IF(AND(H361&lt;&gt;"",I361&lt;&gt;""),I361-H361,"")</f>
        <v/>
      </c>
      <c r="M361">
        <f>IF(AND(H361&lt;&gt;"",H361&lt;&gt;0,I361&lt;&gt;""),(I361-H361)/H361*100,"")</f>
        <v/>
      </c>
      <c r="P361">
        <f>IF(ISNUMBER(M361),ABS(M361),"")</f>
        <v/>
      </c>
    </row>
    <row r="362">
      <c r="L362">
        <f>IF(AND(H362&lt;&gt;"",I362&lt;&gt;""),I362-H362,"")</f>
        <v/>
      </c>
      <c r="M362">
        <f>IF(AND(H362&lt;&gt;"",H362&lt;&gt;0,I362&lt;&gt;""),(I362-H362)/H362*100,"")</f>
        <v/>
      </c>
      <c r="P362">
        <f>IF(ISNUMBER(M362),ABS(M362),"")</f>
        <v/>
      </c>
    </row>
    <row r="363">
      <c r="L363">
        <f>IF(AND(H363&lt;&gt;"",I363&lt;&gt;""),I363-H363,"")</f>
        <v/>
      </c>
      <c r="M363">
        <f>IF(AND(H363&lt;&gt;"",H363&lt;&gt;0,I363&lt;&gt;""),(I363-H363)/H363*100,"")</f>
        <v/>
      </c>
      <c r="P363">
        <f>IF(ISNUMBER(M363),ABS(M363),"")</f>
        <v/>
      </c>
    </row>
    <row r="364">
      <c r="L364">
        <f>IF(AND(H364&lt;&gt;"",I364&lt;&gt;""),I364-H364,"")</f>
        <v/>
      </c>
      <c r="M364">
        <f>IF(AND(H364&lt;&gt;"",H364&lt;&gt;0,I364&lt;&gt;""),(I364-H364)/H364*100,"")</f>
        <v/>
      </c>
      <c r="P364">
        <f>IF(ISNUMBER(M364),ABS(M364),"")</f>
        <v/>
      </c>
    </row>
    <row r="365">
      <c r="L365">
        <f>IF(AND(H365&lt;&gt;"",I365&lt;&gt;""),I365-H365,"")</f>
        <v/>
      </c>
      <c r="M365">
        <f>IF(AND(H365&lt;&gt;"",H365&lt;&gt;0,I365&lt;&gt;""),(I365-H365)/H365*100,"")</f>
        <v/>
      </c>
      <c r="P365">
        <f>IF(ISNUMBER(M365),ABS(M365),"")</f>
        <v/>
      </c>
    </row>
    <row r="366">
      <c r="L366">
        <f>IF(AND(H366&lt;&gt;"",I366&lt;&gt;""),I366-H366,"")</f>
        <v/>
      </c>
      <c r="M366">
        <f>IF(AND(H366&lt;&gt;"",H366&lt;&gt;0,I366&lt;&gt;""),(I366-H366)/H366*100,"")</f>
        <v/>
      </c>
      <c r="P366">
        <f>IF(ISNUMBER(M366),ABS(M366),"")</f>
        <v/>
      </c>
    </row>
    <row r="367">
      <c r="L367">
        <f>IF(AND(H367&lt;&gt;"",I367&lt;&gt;""),I367-H367,"")</f>
        <v/>
      </c>
      <c r="M367">
        <f>IF(AND(H367&lt;&gt;"",H367&lt;&gt;0,I367&lt;&gt;""),(I367-H367)/H367*100,"")</f>
        <v/>
      </c>
      <c r="P367">
        <f>IF(ISNUMBER(M367),ABS(M367),"")</f>
        <v/>
      </c>
    </row>
    <row r="368">
      <c r="L368">
        <f>IF(AND(H368&lt;&gt;"",I368&lt;&gt;""),I368-H368,"")</f>
        <v/>
      </c>
      <c r="M368">
        <f>IF(AND(H368&lt;&gt;"",H368&lt;&gt;0,I368&lt;&gt;""),(I368-H368)/H368*100,"")</f>
        <v/>
      </c>
      <c r="P368">
        <f>IF(ISNUMBER(M368),ABS(M368),"")</f>
        <v/>
      </c>
    </row>
    <row r="369">
      <c r="L369">
        <f>IF(AND(H369&lt;&gt;"",I369&lt;&gt;""),I369-H369,"")</f>
        <v/>
      </c>
      <c r="M369">
        <f>IF(AND(H369&lt;&gt;"",H369&lt;&gt;0,I369&lt;&gt;""),(I369-H369)/H369*100,"")</f>
        <v/>
      </c>
      <c r="P369">
        <f>IF(ISNUMBER(M369),ABS(M369),"")</f>
        <v/>
      </c>
    </row>
    <row r="370">
      <c r="L370">
        <f>IF(AND(H370&lt;&gt;"",I370&lt;&gt;""),I370-H370,"")</f>
        <v/>
      </c>
      <c r="M370">
        <f>IF(AND(H370&lt;&gt;"",H370&lt;&gt;0,I370&lt;&gt;""),(I370-H370)/H370*100,"")</f>
        <v/>
      </c>
      <c r="P370">
        <f>IF(ISNUMBER(M370),ABS(M370),"")</f>
        <v/>
      </c>
    </row>
    <row r="371">
      <c r="L371">
        <f>IF(AND(H371&lt;&gt;"",I371&lt;&gt;""),I371-H371,"")</f>
        <v/>
      </c>
      <c r="M371">
        <f>IF(AND(H371&lt;&gt;"",H371&lt;&gt;0,I371&lt;&gt;""),(I371-H371)/H371*100,"")</f>
        <v/>
      </c>
      <c r="P371">
        <f>IF(ISNUMBER(M371),ABS(M371),"")</f>
        <v/>
      </c>
    </row>
    <row r="372">
      <c r="L372">
        <f>IF(AND(H372&lt;&gt;"",I372&lt;&gt;""),I372-H372,"")</f>
        <v/>
      </c>
      <c r="M372">
        <f>IF(AND(H372&lt;&gt;"",H372&lt;&gt;0,I372&lt;&gt;""),(I372-H372)/H372*100,"")</f>
        <v/>
      </c>
      <c r="P372">
        <f>IF(ISNUMBER(M372),ABS(M372),"")</f>
        <v/>
      </c>
    </row>
    <row r="373">
      <c r="L373">
        <f>IF(AND(H373&lt;&gt;"",I373&lt;&gt;""),I373-H373,"")</f>
        <v/>
      </c>
      <c r="M373">
        <f>IF(AND(H373&lt;&gt;"",H373&lt;&gt;0,I373&lt;&gt;""),(I373-H373)/H373*100,"")</f>
        <v/>
      </c>
      <c r="P373">
        <f>IF(ISNUMBER(M373),ABS(M373),"")</f>
        <v/>
      </c>
    </row>
    <row r="374">
      <c r="L374">
        <f>IF(AND(H374&lt;&gt;"",I374&lt;&gt;""),I374-H374,"")</f>
        <v/>
      </c>
      <c r="M374">
        <f>IF(AND(H374&lt;&gt;"",H374&lt;&gt;0,I374&lt;&gt;""),(I374-H374)/H374*100,"")</f>
        <v/>
      </c>
      <c r="P374">
        <f>IF(ISNUMBER(M374),ABS(M374),"")</f>
        <v/>
      </c>
    </row>
    <row r="375">
      <c r="L375">
        <f>IF(AND(H375&lt;&gt;"",I375&lt;&gt;""),I375-H375,"")</f>
        <v/>
      </c>
      <c r="M375">
        <f>IF(AND(H375&lt;&gt;"",H375&lt;&gt;0,I375&lt;&gt;""),(I375-H375)/H375*100,"")</f>
        <v/>
      </c>
      <c r="P375">
        <f>IF(ISNUMBER(M375),ABS(M375),"")</f>
        <v/>
      </c>
    </row>
    <row r="376">
      <c r="L376">
        <f>IF(AND(H376&lt;&gt;"",I376&lt;&gt;""),I376-H376,"")</f>
        <v/>
      </c>
      <c r="M376">
        <f>IF(AND(H376&lt;&gt;"",H376&lt;&gt;0,I376&lt;&gt;""),(I376-H376)/H376*100,"")</f>
        <v/>
      </c>
      <c r="P376">
        <f>IF(ISNUMBER(M376),ABS(M376),"")</f>
        <v/>
      </c>
    </row>
    <row r="377">
      <c r="L377">
        <f>IF(AND(H377&lt;&gt;"",I377&lt;&gt;""),I377-H377,"")</f>
        <v/>
      </c>
      <c r="M377">
        <f>IF(AND(H377&lt;&gt;"",H377&lt;&gt;0,I377&lt;&gt;""),(I377-H377)/H377*100,"")</f>
        <v/>
      </c>
      <c r="P377">
        <f>IF(ISNUMBER(M377),ABS(M377),"")</f>
        <v/>
      </c>
    </row>
    <row r="378">
      <c r="L378">
        <f>IF(AND(H378&lt;&gt;"",I378&lt;&gt;""),I378-H378,"")</f>
        <v/>
      </c>
      <c r="M378">
        <f>IF(AND(H378&lt;&gt;"",H378&lt;&gt;0,I378&lt;&gt;""),(I378-H378)/H378*100,"")</f>
        <v/>
      </c>
      <c r="P378">
        <f>IF(ISNUMBER(M378),ABS(M378),"")</f>
        <v/>
      </c>
    </row>
    <row r="379">
      <c r="L379">
        <f>IF(AND(H379&lt;&gt;"",I379&lt;&gt;""),I379-H379,"")</f>
        <v/>
      </c>
      <c r="M379">
        <f>IF(AND(H379&lt;&gt;"",H379&lt;&gt;0,I379&lt;&gt;""),(I379-H379)/H379*100,"")</f>
        <v/>
      </c>
      <c r="P379">
        <f>IF(ISNUMBER(M379),ABS(M379),"")</f>
        <v/>
      </c>
    </row>
    <row r="380">
      <c r="L380">
        <f>IF(AND(H380&lt;&gt;"",I380&lt;&gt;""),I380-H380,"")</f>
        <v/>
      </c>
      <c r="M380">
        <f>IF(AND(H380&lt;&gt;"",H380&lt;&gt;0,I380&lt;&gt;""),(I380-H380)/H380*100,"")</f>
        <v/>
      </c>
      <c r="P380">
        <f>IF(ISNUMBER(M380),ABS(M380),"")</f>
        <v/>
      </c>
    </row>
    <row r="381">
      <c r="L381">
        <f>IF(AND(H381&lt;&gt;"",I381&lt;&gt;""),I381-H381,"")</f>
        <v/>
      </c>
      <c r="M381">
        <f>IF(AND(H381&lt;&gt;"",H381&lt;&gt;0,I381&lt;&gt;""),(I381-H381)/H381*100,"")</f>
        <v/>
      </c>
      <c r="P381">
        <f>IF(ISNUMBER(M381),ABS(M381),"")</f>
        <v/>
      </c>
    </row>
    <row r="382">
      <c r="L382">
        <f>IF(AND(H382&lt;&gt;"",I382&lt;&gt;""),I382-H382,"")</f>
        <v/>
      </c>
      <c r="M382">
        <f>IF(AND(H382&lt;&gt;"",H382&lt;&gt;0,I382&lt;&gt;""),(I382-H382)/H382*100,"")</f>
        <v/>
      </c>
      <c r="P382">
        <f>IF(ISNUMBER(M382),ABS(M382),"")</f>
        <v/>
      </c>
    </row>
    <row r="383">
      <c r="L383">
        <f>IF(AND(H383&lt;&gt;"",I383&lt;&gt;""),I383-H383,"")</f>
        <v/>
      </c>
      <c r="M383">
        <f>IF(AND(H383&lt;&gt;"",H383&lt;&gt;0,I383&lt;&gt;""),(I383-H383)/H383*100,"")</f>
        <v/>
      </c>
      <c r="P383">
        <f>IF(ISNUMBER(M383),ABS(M383),"")</f>
        <v/>
      </c>
    </row>
    <row r="384">
      <c r="L384">
        <f>IF(AND(H384&lt;&gt;"",I384&lt;&gt;""),I384-H384,"")</f>
        <v/>
      </c>
      <c r="M384">
        <f>IF(AND(H384&lt;&gt;"",H384&lt;&gt;0,I384&lt;&gt;""),(I384-H384)/H384*100,"")</f>
        <v/>
      </c>
      <c r="P384">
        <f>IF(ISNUMBER(M384),ABS(M384),"")</f>
        <v/>
      </c>
    </row>
    <row r="385">
      <c r="L385">
        <f>IF(AND(H385&lt;&gt;"",I385&lt;&gt;""),I385-H385,"")</f>
        <v/>
      </c>
      <c r="M385">
        <f>IF(AND(H385&lt;&gt;"",H385&lt;&gt;0,I385&lt;&gt;""),(I385-H385)/H385*100,"")</f>
        <v/>
      </c>
      <c r="P385">
        <f>IF(ISNUMBER(M385),ABS(M385),"")</f>
        <v/>
      </c>
    </row>
    <row r="386">
      <c r="L386">
        <f>IF(AND(H386&lt;&gt;"",I386&lt;&gt;""),I386-H386,"")</f>
        <v/>
      </c>
      <c r="M386">
        <f>IF(AND(H386&lt;&gt;"",H386&lt;&gt;0,I386&lt;&gt;""),(I386-H386)/H386*100,"")</f>
        <v/>
      </c>
      <c r="P386">
        <f>IF(ISNUMBER(M386),ABS(M386),"")</f>
        <v/>
      </c>
    </row>
    <row r="387">
      <c r="L387">
        <f>IF(AND(H387&lt;&gt;"",I387&lt;&gt;""),I387-H387,"")</f>
        <v/>
      </c>
      <c r="M387">
        <f>IF(AND(H387&lt;&gt;"",H387&lt;&gt;0,I387&lt;&gt;""),(I387-H387)/H387*100,"")</f>
        <v/>
      </c>
      <c r="P387">
        <f>IF(ISNUMBER(M387),ABS(M387),"")</f>
        <v/>
      </c>
    </row>
    <row r="388">
      <c r="L388">
        <f>IF(AND(H388&lt;&gt;"",I388&lt;&gt;""),I388-H388,"")</f>
        <v/>
      </c>
      <c r="M388">
        <f>IF(AND(H388&lt;&gt;"",H388&lt;&gt;0,I388&lt;&gt;""),(I388-H388)/H388*100,"")</f>
        <v/>
      </c>
      <c r="P388">
        <f>IF(ISNUMBER(M388),ABS(M388),"")</f>
        <v/>
      </c>
    </row>
    <row r="389">
      <c r="L389">
        <f>IF(AND(H389&lt;&gt;"",I389&lt;&gt;""),I389-H389,"")</f>
        <v/>
      </c>
      <c r="M389">
        <f>IF(AND(H389&lt;&gt;"",H389&lt;&gt;0,I389&lt;&gt;""),(I389-H389)/H389*100,"")</f>
        <v/>
      </c>
      <c r="P389">
        <f>IF(ISNUMBER(M389),ABS(M389),"")</f>
        <v/>
      </c>
    </row>
    <row r="390">
      <c r="L390">
        <f>IF(AND(H390&lt;&gt;"",I390&lt;&gt;""),I390-H390,"")</f>
        <v/>
      </c>
      <c r="M390">
        <f>IF(AND(H390&lt;&gt;"",H390&lt;&gt;0,I390&lt;&gt;""),(I390-H390)/H390*100,"")</f>
        <v/>
      </c>
      <c r="P390">
        <f>IF(ISNUMBER(M390),ABS(M390),"")</f>
        <v/>
      </c>
    </row>
    <row r="391">
      <c r="L391">
        <f>IF(AND(H391&lt;&gt;"",I391&lt;&gt;""),I391-H391,"")</f>
        <v/>
      </c>
      <c r="M391">
        <f>IF(AND(H391&lt;&gt;"",H391&lt;&gt;0,I391&lt;&gt;""),(I391-H391)/H391*100,"")</f>
        <v/>
      </c>
      <c r="P391">
        <f>IF(ISNUMBER(M391),ABS(M391),"")</f>
        <v/>
      </c>
    </row>
    <row r="392">
      <c r="L392">
        <f>IF(AND(H392&lt;&gt;"",I392&lt;&gt;""),I392-H392,"")</f>
        <v/>
      </c>
      <c r="M392">
        <f>IF(AND(H392&lt;&gt;"",H392&lt;&gt;0,I392&lt;&gt;""),(I392-H392)/H392*100,"")</f>
        <v/>
      </c>
      <c r="P392">
        <f>IF(ISNUMBER(M392),ABS(M392),"")</f>
        <v/>
      </c>
    </row>
    <row r="393">
      <c r="L393">
        <f>IF(AND(H393&lt;&gt;"",I393&lt;&gt;""),I393-H393,"")</f>
        <v/>
      </c>
      <c r="M393">
        <f>IF(AND(H393&lt;&gt;"",H393&lt;&gt;0,I393&lt;&gt;""),(I393-H393)/H393*100,"")</f>
        <v/>
      </c>
      <c r="P393">
        <f>IF(ISNUMBER(M393),ABS(M393),"")</f>
        <v/>
      </c>
    </row>
    <row r="394">
      <c r="L394">
        <f>IF(AND(H394&lt;&gt;"",I394&lt;&gt;""),I394-H394,"")</f>
        <v/>
      </c>
      <c r="M394">
        <f>IF(AND(H394&lt;&gt;"",H394&lt;&gt;0,I394&lt;&gt;""),(I394-H394)/H394*100,"")</f>
        <v/>
      </c>
      <c r="P394">
        <f>IF(ISNUMBER(M394),ABS(M394),"")</f>
        <v/>
      </c>
    </row>
    <row r="395">
      <c r="L395">
        <f>IF(AND(H395&lt;&gt;"",I395&lt;&gt;""),I395-H395,"")</f>
        <v/>
      </c>
      <c r="M395">
        <f>IF(AND(H395&lt;&gt;"",H395&lt;&gt;0,I395&lt;&gt;""),(I395-H395)/H395*100,"")</f>
        <v/>
      </c>
      <c r="P395">
        <f>IF(ISNUMBER(M395),ABS(M395),"")</f>
        <v/>
      </c>
    </row>
    <row r="396">
      <c r="L396">
        <f>IF(AND(H396&lt;&gt;"",I396&lt;&gt;""),I396-H396,"")</f>
        <v/>
      </c>
      <c r="M396">
        <f>IF(AND(H396&lt;&gt;"",H396&lt;&gt;0,I396&lt;&gt;""),(I396-H396)/H396*100,"")</f>
        <v/>
      </c>
      <c r="P396">
        <f>IF(ISNUMBER(M396),ABS(M396),"")</f>
        <v/>
      </c>
    </row>
    <row r="397">
      <c r="L397">
        <f>IF(AND(H397&lt;&gt;"",I397&lt;&gt;""),I397-H397,"")</f>
        <v/>
      </c>
      <c r="M397">
        <f>IF(AND(H397&lt;&gt;"",H397&lt;&gt;0,I397&lt;&gt;""),(I397-H397)/H397*100,"")</f>
        <v/>
      </c>
      <c r="P397">
        <f>IF(ISNUMBER(M397),ABS(M397),"")</f>
        <v/>
      </c>
    </row>
    <row r="398">
      <c r="L398">
        <f>IF(AND(H398&lt;&gt;"",I398&lt;&gt;""),I398-H398,"")</f>
        <v/>
      </c>
      <c r="M398">
        <f>IF(AND(H398&lt;&gt;"",H398&lt;&gt;0,I398&lt;&gt;""),(I398-H398)/H398*100,"")</f>
        <v/>
      </c>
      <c r="P398">
        <f>IF(ISNUMBER(M398),ABS(M398),"")</f>
        <v/>
      </c>
    </row>
    <row r="399">
      <c r="L399">
        <f>IF(AND(H399&lt;&gt;"",I399&lt;&gt;""),I399-H399,"")</f>
        <v/>
      </c>
      <c r="M399">
        <f>IF(AND(H399&lt;&gt;"",H399&lt;&gt;0,I399&lt;&gt;""),(I399-H399)/H399*100,"")</f>
        <v/>
      </c>
      <c r="P399">
        <f>IF(ISNUMBER(M399),ABS(M399),"")</f>
        <v/>
      </c>
    </row>
    <row r="400">
      <c r="L400">
        <f>IF(AND(H400&lt;&gt;"",I400&lt;&gt;""),I400-H400,"")</f>
        <v/>
      </c>
      <c r="M400">
        <f>IF(AND(H400&lt;&gt;"",H400&lt;&gt;0,I400&lt;&gt;""),(I400-H400)/H400*100,"")</f>
        <v/>
      </c>
      <c r="P400">
        <f>IF(ISNUMBER(M400),ABS(M400),"")</f>
        <v/>
      </c>
    </row>
    <row r="401">
      <c r="L401">
        <f>IF(AND(H401&lt;&gt;"",I401&lt;&gt;""),I401-H401,"")</f>
        <v/>
      </c>
      <c r="M401">
        <f>IF(AND(H401&lt;&gt;"",H401&lt;&gt;0,I401&lt;&gt;""),(I401-H401)/H401*100,"")</f>
        <v/>
      </c>
      <c r="P401">
        <f>IF(ISNUMBER(M401),ABS(M401),"")</f>
        <v/>
      </c>
    </row>
    <row r="402">
      <c r="L402">
        <f>IF(AND(H402&lt;&gt;"",I402&lt;&gt;""),I402-H402,"")</f>
        <v/>
      </c>
      <c r="M402">
        <f>IF(AND(H402&lt;&gt;"",H402&lt;&gt;0,I402&lt;&gt;""),(I402-H402)/H402*100,"")</f>
        <v/>
      </c>
      <c r="P402">
        <f>IF(ISNUMBER(M402),ABS(M402),"")</f>
        <v/>
      </c>
    </row>
    <row r="403">
      <c r="L403">
        <f>IF(AND(H403&lt;&gt;"",I403&lt;&gt;""),I403-H403,"")</f>
        <v/>
      </c>
      <c r="M403">
        <f>IF(AND(H403&lt;&gt;"",H403&lt;&gt;0,I403&lt;&gt;""),(I403-H403)/H403*100,"")</f>
        <v/>
      </c>
      <c r="P403">
        <f>IF(ISNUMBER(M403),ABS(M403),"")</f>
        <v/>
      </c>
    </row>
    <row r="404">
      <c r="L404">
        <f>IF(AND(H404&lt;&gt;"",I404&lt;&gt;""),I404-H404,"")</f>
        <v/>
      </c>
      <c r="M404">
        <f>IF(AND(H404&lt;&gt;"",H404&lt;&gt;0,I404&lt;&gt;""),(I404-H404)/H404*100,"")</f>
        <v/>
      </c>
      <c r="P404">
        <f>IF(ISNUMBER(M404),ABS(M404),"")</f>
        <v/>
      </c>
    </row>
    <row r="405">
      <c r="L405">
        <f>IF(AND(H405&lt;&gt;"",I405&lt;&gt;""),I405-H405,"")</f>
        <v/>
      </c>
      <c r="M405">
        <f>IF(AND(H405&lt;&gt;"",H405&lt;&gt;0,I405&lt;&gt;""),(I405-H405)/H405*100,"")</f>
        <v/>
      </c>
      <c r="P405">
        <f>IF(ISNUMBER(M405),ABS(M405),"")</f>
        <v/>
      </c>
    </row>
    <row r="406">
      <c r="L406">
        <f>IF(AND(H406&lt;&gt;"",I406&lt;&gt;""),I406-H406,"")</f>
        <v/>
      </c>
      <c r="M406">
        <f>IF(AND(H406&lt;&gt;"",H406&lt;&gt;0,I406&lt;&gt;""),(I406-H406)/H406*100,"")</f>
        <v/>
      </c>
      <c r="P406">
        <f>IF(ISNUMBER(M406),ABS(M406),"")</f>
        <v/>
      </c>
    </row>
    <row r="407">
      <c r="L407">
        <f>IF(AND(H407&lt;&gt;"",I407&lt;&gt;""),I407-H407,"")</f>
        <v/>
      </c>
      <c r="M407">
        <f>IF(AND(H407&lt;&gt;"",H407&lt;&gt;0,I407&lt;&gt;""),(I407-H407)/H407*100,"")</f>
        <v/>
      </c>
      <c r="P407">
        <f>IF(ISNUMBER(M407),ABS(M407),"")</f>
        <v/>
      </c>
    </row>
    <row r="408">
      <c r="L408">
        <f>IF(AND(H408&lt;&gt;"",I408&lt;&gt;""),I408-H408,"")</f>
        <v/>
      </c>
      <c r="M408">
        <f>IF(AND(H408&lt;&gt;"",H408&lt;&gt;0,I408&lt;&gt;""),(I408-H408)/H408*100,"")</f>
        <v/>
      </c>
      <c r="P408">
        <f>IF(ISNUMBER(M408),ABS(M408),"")</f>
        <v/>
      </c>
    </row>
    <row r="409">
      <c r="L409">
        <f>IF(AND(H409&lt;&gt;"",I409&lt;&gt;""),I409-H409,"")</f>
        <v/>
      </c>
      <c r="M409">
        <f>IF(AND(H409&lt;&gt;"",H409&lt;&gt;0,I409&lt;&gt;""),(I409-H409)/H409*100,"")</f>
        <v/>
      </c>
      <c r="P409">
        <f>IF(ISNUMBER(M409),ABS(M409),"")</f>
        <v/>
      </c>
    </row>
    <row r="410">
      <c r="L410">
        <f>IF(AND(H410&lt;&gt;"",I410&lt;&gt;""),I410-H410,"")</f>
        <v/>
      </c>
      <c r="M410">
        <f>IF(AND(H410&lt;&gt;"",H410&lt;&gt;0,I410&lt;&gt;""),(I410-H410)/H410*100,"")</f>
        <v/>
      </c>
      <c r="P410">
        <f>IF(ISNUMBER(M410),ABS(M410),"")</f>
        <v/>
      </c>
    </row>
    <row r="411">
      <c r="L411">
        <f>IF(AND(H411&lt;&gt;"",I411&lt;&gt;""),I411-H411,"")</f>
        <v/>
      </c>
      <c r="M411">
        <f>IF(AND(H411&lt;&gt;"",H411&lt;&gt;0,I411&lt;&gt;""),(I411-H411)/H411*100,"")</f>
        <v/>
      </c>
      <c r="P411">
        <f>IF(ISNUMBER(M411),ABS(M411),"")</f>
        <v/>
      </c>
    </row>
    <row r="412">
      <c r="L412">
        <f>IF(AND(H412&lt;&gt;"",I412&lt;&gt;""),I412-H412,"")</f>
        <v/>
      </c>
      <c r="M412">
        <f>IF(AND(H412&lt;&gt;"",H412&lt;&gt;0,I412&lt;&gt;""),(I412-H412)/H412*100,"")</f>
        <v/>
      </c>
      <c r="P412">
        <f>IF(ISNUMBER(M412),ABS(M412),"")</f>
        <v/>
      </c>
    </row>
    <row r="413">
      <c r="L413">
        <f>IF(AND(H413&lt;&gt;"",I413&lt;&gt;""),I413-H413,"")</f>
        <v/>
      </c>
      <c r="M413">
        <f>IF(AND(H413&lt;&gt;"",H413&lt;&gt;0,I413&lt;&gt;""),(I413-H413)/H413*100,"")</f>
        <v/>
      </c>
      <c r="P413">
        <f>IF(ISNUMBER(M413),ABS(M413),"")</f>
        <v/>
      </c>
    </row>
    <row r="414">
      <c r="L414">
        <f>IF(AND(H414&lt;&gt;"",I414&lt;&gt;""),I414-H414,"")</f>
        <v/>
      </c>
      <c r="M414">
        <f>IF(AND(H414&lt;&gt;"",H414&lt;&gt;0,I414&lt;&gt;""),(I414-H414)/H414*100,"")</f>
        <v/>
      </c>
      <c r="P414">
        <f>IF(ISNUMBER(M414),ABS(M414),"")</f>
        <v/>
      </c>
    </row>
    <row r="415">
      <c r="L415">
        <f>IF(AND(H415&lt;&gt;"",I415&lt;&gt;""),I415-H415,"")</f>
        <v/>
      </c>
      <c r="M415">
        <f>IF(AND(H415&lt;&gt;"",H415&lt;&gt;0,I415&lt;&gt;""),(I415-H415)/H415*100,"")</f>
        <v/>
      </c>
      <c r="P415">
        <f>IF(ISNUMBER(M415),ABS(M415),"")</f>
        <v/>
      </c>
    </row>
    <row r="416">
      <c r="L416">
        <f>IF(AND(H416&lt;&gt;"",I416&lt;&gt;""),I416-H416,"")</f>
        <v/>
      </c>
      <c r="M416">
        <f>IF(AND(H416&lt;&gt;"",H416&lt;&gt;0,I416&lt;&gt;""),(I416-H416)/H416*100,"")</f>
        <v/>
      </c>
      <c r="P416">
        <f>IF(ISNUMBER(M416),ABS(M416),"")</f>
        <v/>
      </c>
    </row>
    <row r="417">
      <c r="L417">
        <f>IF(AND(H417&lt;&gt;"",I417&lt;&gt;""),I417-H417,"")</f>
        <v/>
      </c>
      <c r="M417">
        <f>IF(AND(H417&lt;&gt;"",H417&lt;&gt;0,I417&lt;&gt;""),(I417-H417)/H417*100,"")</f>
        <v/>
      </c>
      <c r="P417">
        <f>IF(ISNUMBER(M417),ABS(M417),"")</f>
        <v/>
      </c>
    </row>
    <row r="418">
      <c r="L418">
        <f>IF(AND(H418&lt;&gt;"",I418&lt;&gt;""),I418-H418,"")</f>
        <v/>
      </c>
      <c r="M418">
        <f>IF(AND(H418&lt;&gt;"",H418&lt;&gt;0,I418&lt;&gt;""),(I418-H418)/H418*100,"")</f>
        <v/>
      </c>
      <c r="P418">
        <f>IF(ISNUMBER(M418),ABS(M418),"")</f>
        <v/>
      </c>
    </row>
    <row r="419">
      <c r="L419">
        <f>IF(AND(H419&lt;&gt;"",I419&lt;&gt;""),I419-H419,"")</f>
        <v/>
      </c>
      <c r="M419">
        <f>IF(AND(H419&lt;&gt;"",H419&lt;&gt;0,I419&lt;&gt;""),(I419-H419)/H419*100,"")</f>
        <v/>
      </c>
      <c r="P419">
        <f>IF(ISNUMBER(M419),ABS(M419),"")</f>
        <v/>
      </c>
    </row>
    <row r="420">
      <c r="L420">
        <f>IF(AND(H420&lt;&gt;"",I420&lt;&gt;""),I420-H420,"")</f>
        <v/>
      </c>
      <c r="M420">
        <f>IF(AND(H420&lt;&gt;"",H420&lt;&gt;0,I420&lt;&gt;""),(I420-H420)/H420*100,"")</f>
        <v/>
      </c>
      <c r="P420">
        <f>IF(ISNUMBER(M420),ABS(M420),"")</f>
        <v/>
      </c>
    </row>
    <row r="421">
      <c r="L421">
        <f>IF(AND(H421&lt;&gt;"",I421&lt;&gt;""),I421-H421,"")</f>
        <v/>
      </c>
      <c r="M421">
        <f>IF(AND(H421&lt;&gt;"",H421&lt;&gt;0,I421&lt;&gt;""),(I421-H421)/H421*100,"")</f>
        <v/>
      </c>
      <c r="P421">
        <f>IF(ISNUMBER(M421),ABS(M421),"")</f>
        <v/>
      </c>
    </row>
    <row r="422">
      <c r="L422">
        <f>IF(AND(H422&lt;&gt;"",I422&lt;&gt;""),I422-H422,"")</f>
        <v/>
      </c>
      <c r="M422">
        <f>IF(AND(H422&lt;&gt;"",H422&lt;&gt;0,I422&lt;&gt;""),(I422-H422)/H422*100,"")</f>
        <v/>
      </c>
      <c r="P422">
        <f>IF(ISNUMBER(M422),ABS(M422),"")</f>
        <v/>
      </c>
    </row>
    <row r="423">
      <c r="L423">
        <f>IF(AND(H423&lt;&gt;"",I423&lt;&gt;""),I423-H423,"")</f>
        <v/>
      </c>
      <c r="M423">
        <f>IF(AND(H423&lt;&gt;"",H423&lt;&gt;0,I423&lt;&gt;""),(I423-H423)/H423*100,"")</f>
        <v/>
      </c>
      <c r="P423">
        <f>IF(ISNUMBER(M423),ABS(M423),"")</f>
        <v/>
      </c>
    </row>
    <row r="424">
      <c r="L424">
        <f>IF(AND(H424&lt;&gt;"",I424&lt;&gt;""),I424-H424,"")</f>
        <v/>
      </c>
      <c r="M424">
        <f>IF(AND(H424&lt;&gt;"",H424&lt;&gt;0,I424&lt;&gt;""),(I424-H424)/H424*100,"")</f>
        <v/>
      </c>
      <c r="P424">
        <f>IF(ISNUMBER(M424),ABS(M424),"")</f>
        <v/>
      </c>
    </row>
    <row r="425">
      <c r="L425">
        <f>IF(AND(H425&lt;&gt;"",I425&lt;&gt;""),I425-H425,"")</f>
        <v/>
      </c>
      <c r="M425">
        <f>IF(AND(H425&lt;&gt;"",H425&lt;&gt;0,I425&lt;&gt;""),(I425-H425)/H425*100,"")</f>
        <v/>
      </c>
      <c r="P425">
        <f>IF(ISNUMBER(M425),ABS(M425),"")</f>
        <v/>
      </c>
    </row>
    <row r="426">
      <c r="L426">
        <f>IF(AND(H426&lt;&gt;"",I426&lt;&gt;""),I426-H426,"")</f>
        <v/>
      </c>
      <c r="M426">
        <f>IF(AND(H426&lt;&gt;"",H426&lt;&gt;0,I426&lt;&gt;""),(I426-H426)/H426*100,"")</f>
        <v/>
      </c>
      <c r="P426">
        <f>IF(ISNUMBER(M426),ABS(M426),"")</f>
        <v/>
      </c>
    </row>
    <row r="427">
      <c r="L427">
        <f>IF(AND(H427&lt;&gt;"",I427&lt;&gt;""),I427-H427,"")</f>
        <v/>
      </c>
      <c r="M427">
        <f>IF(AND(H427&lt;&gt;"",H427&lt;&gt;0,I427&lt;&gt;""),(I427-H427)/H427*100,"")</f>
        <v/>
      </c>
      <c r="P427">
        <f>IF(ISNUMBER(M427),ABS(M427),"")</f>
        <v/>
      </c>
    </row>
    <row r="428">
      <c r="L428">
        <f>IF(AND(H428&lt;&gt;"",I428&lt;&gt;""),I428-H428,"")</f>
        <v/>
      </c>
      <c r="M428">
        <f>IF(AND(H428&lt;&gt;"",H428&lt;&gt;0,I428&lt;&gt;""),(I428-H428)/H428*100,"")</f>
        <v/>
      </c>
      <c r="P428">
        <f>IF(ISNUMBER(M428),ABS(M428),"")</f>
        <v/>
      </c>
    </row>
    <row r="429">
      <c r="L429">
        <f>IF(AND(H429&lt;&gt;"",I429&lt;&gt;""),I429-H429,"")</f>
        <v/>
      </c>
      <c r="M429">
        <f>IF(AND(H429&lt;&gt;"",H429&lt;&gt;0,I429&lt;&gt;""),(I429-H429)/H429*100,"")</f>
        <v/>
      </c>
      <c r="P429">
        <f>IF(ISNUMBER(M429),ABS(M429),"")</f>
        <v/>
      </c>
    </row>
    <row r="430">
      <c r="L430">
        <f>IF(AND(H430&lt;&gt;"",I430&lt;&gt;""),I430-H430,"")</f>
        <v/>
      </c>
      <c r="M430">
        <f>IF(AND(H430&lt;&gt;"",H430&lt;&gt;0,I430&lt;&gt;""),(I430-H430)/H430*100,"")</f>
        <v/>
      </c>
      <c r="P430">
        <f>IF(ISNUMBER(M430),ABS(M430),"")</f>
        <v/>
      </c>
    </row>
    <row r="431">
      <c r="L431">
        <f>IF(AND(H431&lt;&gt;"",I431&lt;&gt;""),I431-H431,"")</f>
        <v/>
      </c>
      <c r="M431">
        <f>IF(AND(H431&lt;&gt;"",H431&lt;&gt;0,I431&lt;&gt;""),(I431-H431)/H431*100,"")</f>
        <v/>
      </c>
      <c r="P431">
        <f>IF(ISNUMBER(M431),ABS(M431),"")</f>
        <v/>
      </c>
    </row>
    <row r="432">
      <c r="L432">
        <f>IF(AND(H432&lt;&gt;"",I432&lt;&gt;""),I432-H432,"")</f>
        <v/>
      </c>
      <c r="M432">
        <f>IF(AND(H432&lt;&gt;"",H432&lt;&gt;0,I432&lt;&gt;""),(I432-H432)/H432*100,"")</f>
        <v/>
      </c>
      <c r="P432">
        <f>IF(ISNUMBER(M432),ABS(M432),"")</f>
        <v/>
      </c>
    </row>
    <row r="433">
      <c r="L433">
        <f>IF(AND(H433&lt;&gt;"",I433&lt;&gt;""),I433-H433,"")</f>
        <v/>
      </c>
      <c r="M433">
        <f>IF(AND(H433&lt;&gt;"",H433&lt;&gt;0,I433&lt;&gt;""),(I433-H433)/H433*100,"")</f>
        <v/>
      </c>
      <c r="P433">
        <f>IF(ISNUMBER(M433),ABS(M433),"")</f>
        <v/>
      </c>
    </row>
    <row r="434">
      <c r="L434">
        <f>IF(AND(H434&lt;&gt;"",I434&lt;&gt;""),I434-H434,"")</f>
        <v/>
      </c>
      <c r="M434">
        <f>IF(AND(H434&lt;&gt;"",H434&lt;&gt;0,I434&lt;&gt;""),(I434-H434)/H434*100,"")</f>
        <v/>
      </c>
      <c r="P434">
        <f>IF(ISNUMBER(M434),ABS(M434),"")</f>
        <v/>
      </c>
    </row>
    <row r="435">
      <c r="L435">
        <f>IF(AND(H435&lt;&gt;"",I435&lt;&gt;""),I435-H435,"")</f>
        <v/>
      </c>
      <c r="M435">
        <f>IF(AND(H435&lt;&gt;"",H435&lt;&gt;0,I435&lt;&gt;""),(I435-H435)/H435*100,"")</f>
        <v/>
      </c>
      <c r="P435">
        <f>IF(ISNUMBER(M435),ABS(M435),"")</f>
        <v/>
      </c>
    </row>
    <row r="436">
      <c r="L436">
        <f>IF(AND(H436&lt;&gt;"",I436&lt;&gt;""),I436-H436,"")</f>
        <v/>
      </c>
      <c r="M436">
        <f>IF(AND(H436&lt;&gt;"",H436&lt;&gt;0,I436&lt;&gt;""),(I436-H436)/H436*100,"")</f>
        <v/>
      </c>
      <c r="P436">
        <f>IF(ISNUMBER(M436),ABS(M436),"")</f>
        <v/>
      </c>
    </row>
    <row r="437">
      <c r="L437">
        <f>IF(AND(H437&lt;&gt;"",I437&lt;&gt;""),I437-H437,"")</f>
        <v/>
      </c>
      <c r="M437">
        <f>IF(AND(H437&lt;&gt;"",H437&lt;&gt;0,I437&lt;&gt;""),(I437-H437)/H437*100,"")</f>
        <v/>
      </c>
      <c r="P437">
        <f>IF(ISNUMBER(M437),ABS(M437),"")</f>
        <v/>
      </c>
    </row>
    <row r="438">
      <c r="L438">
        <f>IF(AND(H438&lt;&gt;"",I438&lt;&gt;""),I438-H438,"")</f>
        <v/>
      </c>
      <c r="M438">
        <f>IF(AND(H438&lt;&gt;"",H438&lt;&gt;0,I438&lt;&gt;""),(I438-H438)/H438*100,"")</f>
        <v/>
      </c>
      <c r="P438">
        <f>IF(ISNUMBER(M438),ABS(M438),"")</f>
        <v/>
      </c>
    </row>
    <row r="439">
      <c r="L439">
        <f>IF(AND(H439&lt;&gt;"",I439&lt;&gt;""),I439-H439,"")</f>
        <v/>
      </c>
      <c r="M439">
        <f>IF(AND(H439&lt;&gt;"",H439&lt;&gt;0,I439&lt;&gt;""),(I439-H439)/H439*100,"")</f>
        <v/>
      </c>
      <c r="P439">
        <f>IF(ISNUMBER(M439),ABS(M439),"")</f>
        <v/>
      </c>
    </row>
    <row r="440">
      <c r="L440">
        <f>IF(AND(H440&lt;&gt;"",I440&lt;&gt;""),I440-H440,"")</f>
        <v/>
      </c>
      <c r="M440">
        <f>IF(AND(H440&lt;&gt;"",H440&lt;&gt;0,I440&lt;&gt;""),(I440-H440)/H440*100,"")</f>
        <v/>
      </c>
      <c r="P440">
        <f>IF(ISNUMBER(M440),ABS(M440),"")</f>
        <v/>
      </c>
    </row>
    <row r="441">
      <c r="L441">
        <f>IF(AND(H441&lt;&gt;"",I441&lt;&gt;""),I441-H441,"")</f>
        <v/>
      </c>
      <c r="M441">
        <f>IF(AND(H441&lt;&gt;"",H441&lt;&gt;0,I441&lt;&gt;""),(I441-H441)/H441*100,"")</f>
        <v/>
      </c>
      <c r="P441">
        <f>IF(ISNUMBER(M441),ABS(M441),"")</f>
        <v/>
      </c>
    </row>
    <row r="442">
      <c r="L442">
        <f>IF(AND(H442&lt;&gt;"",I442&lt;&gt;""),I442-H442,"")</f>
        <v/>
      </c>
      <c r="M442">
        <f>IF(AND(H442&lt;&gt;"",H442&lt;&gt;0,I442&lt;&gt;""),(I442-H442)/H442*100,"")</f>
        <v/>
      </c>
      <c r="P442">
        <f>IF(ISNUMBER(M442),ABS(M442),"")</f>
        <v/>
      </c>
    </row>
    <row r="443">
      <c r="L443">
        <f>IF(AND(H443&lt;&gt;"",I443&lt;&gt;""),I443-H443,"")</f>
        <v/>
      </c>
      <c r="M443">
        <f>IF(AND(H443&lt;&gt;"",H443&lt;&gt;0,I443&lt;&gt;""),(I443-H443)/H443*100,"")</f>
        <v/>
      </c>
      <c r="P443">
        <f>IF(ISNUMBER(M443),ABS(M443),"")</f>
        <v/>
      </c>
    </row>
    <row r="444">
      <c r="L444">
        <f>IF(AND(H444&lt;&gt;"",I444&lt;&gt;""),I444-H444,"")</f>
        <v/>
      </c>
      <c r="M444">
        <f>IF(AND(H444&lt;&gt;"",H444&lt;&gt;0,I444&lt;&gt;""),(I444-H444)/H444*100,"")</f>
        <v/>
      </c>
      <c r="P444">
        <f>IF(ISNUMBER(M444),ABS(M444),"")</f>
        <v/>
      </c>
    </row>
    <row r="445">
      <c r="L445">
        <f>IF(AND(H445&lt;&gt;"",I445&lt;&gt;""),I445-H445,"")</f>
        <v/>
      </c>
      <c r="M445">
        <f>IF(AND(H445&lt;&gt;"",H445&lt;&gt;0,I445&lt;&gt;""),(I445-H445)/H445*100,"")</f>
        <v/>
      </c>
      <c r="P445">
        <f>IF(ISNUMBER(M445),ABS(M445),"")</f>
        <v/>
      </c>
    </row>
    <row r="446">
      <c r="L446">
        <f>IF(AND(H446&lt;&gt;"",I446&lt;&gt;""),I446-H446,"")</f>
        <v/>
      </c>
      <c r="M446">
        <f>IF(AND(H446&lt;&gt;"",H446&lt;&gt;0,I446&lt;&gt;""),(I446-H446)/H446*100,"")</f>
        <v/>
      </c>
      <c r="P446">
        <f>IF(ISNUMBER(M446),ABS(M446),"")</f>
        <v/>
      </c>
    </row>
    <row r="447">
      <c r="L447">
        <f>IF(AND(H447&lt;&gt;"",I447&lt;&gt;""),I447-H447,"")</f>
        <v/>
      </c>
      <c r="M447">
        <f>IF(AND(H447&lt;&gt;"",H447&lt;&gt;0,I447&lt;&gt;""),(I447-H447)/H447*100,"")</f>
        <v/>
      </c>
      <c r="P447">
        <f>IF(ISNUMBER(M447),ABS(M447),"")</f>
        <v/>
      </c>
    </row>
    <row r="448">
      <c r="L448">
        <f>IF(AND(H448&lt;&gt;"",I448&lt;&gt;""),I448-H448,"")</f>
        <v/>
      </c>
      <c r="M448">
        <f>IF(AND(H448&lt;&gt;"",H448&lt;&gt;0,I448&lt;&gt;""),(I448-H448)/H448*100,"")</f>
        <v/>
      </c>
      <c r="P448">
        <f>IF(ISNUMBER(M448),ABS(M448),"")</f>
        <v/>
      </c>
    </row>
    <row r="449">
      <c r="L449">
        <f>IF(AND(H449&lt;&gt;"",I449&lt;&gt;""),I449-H449,"")</f>
        <v/>
      </c>
      <c r="M449">
        <f>IF(AND(H449&lt;&gt;"",H449&lt;&gt;0,I449&lt;&gt;""),(I449-H449)/H449*100,"")</f>
        <v/>
      </c>
      <c r="P449">
        <f>IF(ISNUMBER(M449),ABS(M449),"")</f>
        <v/>
      </c>
    </row>
    <row r="450">
      <c r="L450">
        <f>IF(AND(H450&lt;&gt;"",I450&lt;&gt;""),I450-H450,"")</f>
        <v/>
      </c>
      <c r="M450">
        <f>IF(AND(H450&lt;&gt;"",H450&lt;&gt;0,I450&lt;&gt;""),(I450-H450)/H450*100,"")</f>
        <v/>
      </c>
      <c r="P450">
        <f>IF(ISNUMBER(M450),ABS(M450),"")</f>
        <v/>
      </c>
    </row>
    <row r="451">
      <c r="L451">
        <f>IF(AND(H451&lt;&gt;"",I451&lt;&gt;""),I451-H451,"")</f>
        <v/>
      </c>
      <c r="M451">
        <f>IF(AND(H451&lt;&gt;"",H451&lt;&gt;0,I451&lt;&gt;""),(I451-H451)/H451*100,"")</f>
        <v/>
      </c>
      <c r="P451">
        <f>IF(ISNUMBER(M451),ABS(M451),"")</f>
        <v/>
      </c>
    </row>
    <row r="452">
      <c r="L452">
        <f>IF(AND(H452&lt;&gt;"",I452&lt;&gt;""),I452-H452,"")</f>
        <v/>
      </c>
      <c r="M452">
        <f>IF(AND(H452&lt;&gt;"",H452&lt;&gt;0,I452&lt;&gt;""),(I452-H452)/H452*100,"")</f>
        <v/>
      </c>
      <c r="P452">
        <f>IF(ISNUMBER(M452),ABS(M452),"")</f>
        <v/>
      </c>
    </row>
    <row r="453">
      <c r="L453">
        <f>IF(AND(H453&lt;&gt;"",I453&lt;&gt;""),I453-H453,"")</f>
        <v/>
      </c>
      <c r="M453">
        <f>IF(AND(H453&lt;&gt;"",H453&lt;&gt;0,I453&lt;&gt;""),(I453-H453)/H453*100,"")</f>
        <v/>
      </c>
      <c r="P453">
        <f>IF(ISNUMBER(M453),ABS(M453),"")</f>
        <v/>
      </c>
    </row>
    <row r="454">
      <c r="L454">
        <f>IF(AND(H454&lt;&gt;"",I454&lt;&gt;""),I454-H454,"")</f>
        <v/>
      </c>
      <c r="M454">
        <f>IF(AND(H454&lt;&gt;"",H454&lt;&gt;0,I454&lt;&gt;""),(I454-H454)/H454*100,"")</f>
        <v/>
      </c>
      <c r="P454">
        <f>IF(ISNUMBER(M454),ABS(M454),"")</f>
        <v/>
      </c>
    </row>
    <row r="455">
      <c r="L455">
        <f>IF(AND(H455&lt;&gt;"",I455&lt;&gt;""),I455-H455,"")</f>
        <v/>
      </c>
      <c r="M455">
        <f>IF(AND(H455&lt;&gt;"",H455&lt;&gt;0,I455&lt;&gt;""),(I455-H455)/H455*100,"")</f>
        <v/>
      </c>
      <c r="P455">
        <f>IF(ISNUMBER(M455),ABS(M455),"")</f>
        <v/>
      </c>
    </row>
    <row r="456">
      <c r="L456">
        <f>IF(AND(H456&lt;&gt;"",I456&lt;&gt;""),I456-H456,"")</f>
        <v/>
      </c>
      <c r="M456">
        <f>IF(AND(H456&lt;&gt;"",H456&lt;&gt;0,I456&lt;&gt;""),(I456-H456)/H456*100,"")</f>
        <v/>
      </c>
      <c r="P456">
        <f>IF(ISNUMBER(M456),ABS(M456),"")</f>
        <v/>
      </c>
    </row>
    <row r="457">
      <c r="L457">
        <f>IF(AND(H457&lt;&gt;"",I457&lt;&gt;""),I457-H457,"")</f>
        <v/>
      </c>
      <c r="M457">
        <f>IF(AND(H457&lt;&gt;"",H457&lt;&gt;0,I457&lt;&gt;""),(I457-H457)/H457*100,"")</f>
        <v/>
      </c>
      <c r="P457">
        <f>IF(ISNUMBER(M457),ABS(M457),"")</f>
        <v/>
      </c>
    </row>
    <row r="458">
      <c r="L458">
        <f>IF(AND(H458&lt;&gt;"",I458&lt;&gt;""),I458-H458,"")</f>
        <v/>
      </c>
      <c r="M458">
        <f>IF(AND(H458&lt;&gt;"",H458&lt;&gt;0,I458&lt;&gt;""),(I458-H458)/H458*100,"")</f>
        <v/>
      </c>
      <c r="P458">
        <f>IF(ISNUMBER(M458),ABS(M458),"")</f>
        <v/>
      </c>
    </row>
    <row r="459">
      <c r="L459">
        <f>IF(AND(H459&lt;&gt;"",I459&lt;&gt;""),I459-H459,"")</f>
        <v/>
      </c>
      <c r="M459">
        <f>IF(AND(H459&lt;&gt;"",H459&lt;&gt;0,I459&lt;&gt;""),(I459-H459)/H459*100,"")</f>
        <v/>
      </c>
      <c r="P459">
        <f>IF(ISNUMBER(M459),ABS(M459),"")</f>
        <v/>
      </c>
    </row>
    <row r="460">
      <c r="L460">
        <f>IF(AND(H460&lt;&gt;"",I460&lt;&gt;""),I460-H460,"")</f>
        <v/>
      </c>
      <c r="M460">
        <f>IF(AND(H460&lt;&gt;"",H460&lt;&gt;0,I460&lt;&gt;""),(I460-H460)/H460*100,"")</f>
        <v/>
      </c>
      <c r="P460">
        <f>IF(ISNUMBER(M460),ABS(M460),"")</f>
        <v/>
      </c>
    </row>
    <row r="461">
      <c r="L461">
        <f>IF(AND(H461&lt;&gt;"",I461&lt;&gt;""),I461-H461,"")</f>
        <v/>
      </c>
      <c r="M461">
        <f>IF(AND(H461&lt;&gt;"",H461&lt;&gt;0,I461&lt;&gt;""),(I461-H461)/H461*100,"")</f>
        <v/>
      </c>
      <c r="P461">
        <f>IF(ISNUMBER(M461),ABS(M461),"")</f>
        <v/>
      </c>
    </row>
    <row r="462">
      <c r="L462">
        <f>IF(AND(H462&lt;&gt;"",I462&lt;&gt;""),I462-H462,"")</f>
        <v/>
      </c>
      <c r="M462">
        <f>IF(AND(H462&lt;&gt;"",H462&lt;&gt;0,I462&lt;&gt;""),(I462-H462)/H462*100,"")</f>
        <v/>
      </c>
      <c r="P462">
        <f>IF(ISNUMBER(M462),ABS(M462),"")</f>
        <v/>
      </c>
    </row>
    <row r="463">
      <c r="L463">
        <f>IF(AND(H463&lt;&gt;"",I463&lt;&gt;""),I463-H463,"")</f>
        <v/>
      </c>
      <c r="M463">
        <f>IF(AND(H463&lt;&gt;"",H463&lt;&gt;0,I463&lt;&gt;""),(I463-H463)/H463*100,"")</f>
        <v/>
      </c>
      <c r="P463">
        <f>IF(ISNUMBER(M463),ABS(M463),"")</f>
        <v/>
      </c>
    </row>
    <row r="464">
      <c r="L464">
        <f>IF(AND(H464&lt;&gt;"",I464&lt;&gt;""),I464-H464,"")</f>
        <v/>
      </c>
      <c r="M464">
        <f>IF(AND(H464&lt;&gt;"",H464&lt;&gt;0,I464&lt;&gt;""),(I464-H464)/H464*100,"")</f>
        <v/>
      </c>
      <c r="P464">
        <f>IF(ISNUMBER(M464),ABS(M464),"")</f>
        <v/>
      </c>
    </row>
    <row r="465">
      <c r="L465">
        <f>IF(AND(H465&lt;&gt;"",I465&lt;&gt;""),I465-H465,"")</f>
        <v/>
      </c>
      <c r="M465">
        <f>IF(AND(H465&lt;&gt;"",H465&lt;&gt;0,I465&lt;&gt;""),(I465-H465)/H465*100,"")</f>
        <v/>
      </c>
      <c r="P465">
        <f>IF(ISNUMBER(M465),ABS(M465),"")</f>
        <v/>
      </c>
    </row>
    <row r="466">
      <c r="L466">
        <f>IF(AND(H466&lt;&gt;"",I466&lt;&gt;""),I466-H466,"")</f>
        <v/>
      </c>
      <c r="M466">
        <f>IF(AND(H466&lt;&gt;"",H466&lt;&gt;0,I466&lt;&gt;""),(I466-H466)/H466*100,"")</f>
        <v/>
      </c>
      <c r="P466">
        <f>IF(ISNUMBER(M466),ABS(M466),"")</f>
        <v/>
      </c>
    </row>
    <row r="467">
      <c r="L467">
        <f>IF(AND(H467&lt;&gt;"",I467&lt;&gt;""),I467-H467,"")</f>
        <v/>
      </c>
      <c r="M467">
        <f>IF(AND(H467&lt;&gt;"",H467&lt;&gt;0,I467&lt;&gt;""),(I467-H467)/H467*100,"")</f>
        <v/>
      </c>
      <c r="P467">
        <f>IF(ISNUMBER(M467),ABS(M467),"")</f>
        <v/>
      </c>
    </row>
    <row r="468">
      <c r="L468">
        <f>IF(AND(H468&lt;&gt;"",I468&lt;&gt;""),I468-H468,"")</f>
        <v/>
      </c>
      <c r="M468">
        <f>IF(AND(H468&lt;&gt;"",H468&lt;&gt;0,I468&lt;&gt;""),(I468-H468)/H468*100,"")</f>
        <v/>
      </c>
      <c r="P468">
        <f>IF(ISNUMBER(M468),ABS(M468),"")</f>
        <v/>
      </c>
    </row>
    <row r="469">
      <c r="L469">
        <f>IF(AND(H469&lt;&gt;"",I469&lt;&gt;""),I469-H469,"")</f>
        <v/>
      </c>
      <c r="M469">
        <f>IF(AND(H469&lt;&gt;"",H469&lt;&gt;0,I469&lt;&gt;""),(I469-H469)/H469*100,"")</f>
        <v/>
      </c>
      <c r="P469">
        <f>IF(ISNUMBER(M469),ABS(M469),"")</f>
        <v/>
      </c>
    </row>
    <row r="470">
      <c r="L470">
        <f>IF(AND(H470&lt;&gt;"",I470&lt;&gt;""),I470-H470,"")</f>
        <v/>
      </c>
      <c r="M470">
        <f>IF(AND(H470&lt;&gt;"",H470&lt;&gt;0,I470&lt;&gt;""),(I470-H470)/H470*100,"")</f>
        <v/>
      </c>
      <c r="P470">
        <f>IF(ISNUMBER(M470),ABS(M470),"")</f>
        <v/>
      </c>
    </row>
    <row r="471">
      <c r="L471">
        <f>IF(AND(H471&lt;&gt;"",I471&lt;&gt;""),I471-H471,"")</f>
        <v/>
      </c>
      <c r="M471">
        <f>IF(AND(H471&lt;&gt;"",H471&lt;&gt;0,I471&lt;&gt;""),(I471-H471)/H471*100,"")</f>
        <v/>
      </c>
      <c r="P471">
        <f>IF(ISNUMBER(M471),ABS(M471),"")</f>
        <v/>
      </c>
    </row>
    <row r="472">
      <c r="L472">
        <f>IF(AND(H472&lt;&gt;"",I472&lt;&gt;""),I472-H472,"")</f>
        <v/>
      </c>
      <c r="M472">
        <f>IF(AND(H472&lt;&gt;"",H472&lt;&gt;0,I472&lt;&gt;""),(I472-H472)/H472*100,"")</f>
        <v/>
      </c>
      <c r="P472">
        <f>IF(ISNUMBER(M472),ABS(M472),"")</f>
        <v/>
      </c>
    </row>
    <row r="473">
      <c r="L473">
        <f>IF(AND(H473&lt;&gt;"",I473&lt;&gt;""),I473-H473,"")</f>
        <v/>
      </c>
      <c r="M473">
        <f>IF(AND(H473&lt;&gt;"",H473&lt;&gt;0,I473&lt;&gt;""),(I473-H473)/H473*100,"")</f>
        <v/>
      </c>
      <c r="P473">
        <f>IF(ISNUMBER(M473),ABS(M473),"")</f>
        <v/>
      </c>
    </row>
    <row r="474">
      <c r="L474">
        <f>IF(AND(H474&lt;&gt;"",I474&lt;&gt;""),I474-H474,"")</f>
        <v/>
      </c>
      <c r="M474">
        <f>IF(AND(H474&lt;&gt;"",H474&lt;&gt;0,I474&lt;&gt;""),(I474-H474)/H474*100,"")</f>
        <v/>
      </c>
      <c r="P474">
        <f>IF(ISNUMBER(M474),ABS(M474),"")</f>
        <v/>
      </c>
    </row>
    <row r="475">
      <c r="L475">
        <f>IF(AND(H475&lt;&gt;"",I475&lt;&gt;""),I475-H475,"")</f>
        <v/>
      </c>
      <c r="M475">
        <f>IF(AND(H475&lt;&gt;"",H475&lt;&gt;0,I475&lt;&gt;""),(I475-H475)/H475*100,"")</f>
        <v/>
      </c>
      <c r="P475">
        <f>IF(ISNUMBER(M475),ABS(M475),"")</f>
        <v/>
      </c>
    </row>
    <row r="476">
      <c r="L476">
        <f>IF(AND(H476&lt;&gt;"",I476&lt;&gt;""),I476-H476,"")</f>
        <v/>
      </c>
      <c r="M476">
        <f>IF(AND(H476&lt;&gt;"",H476&lt;&gt;0,I476&lt;&gt;""),(I476-H476)/H476*100,"")</f>
        <v/>
      </c>
      <c r="P476">
        <f>IF(ISNUMBER(M476),ABS(M476),"")</f>
        <v/>
      </c>
    </row>
    <row r="477">
      <c r="L477">
        <f>IF(AND(H477&lt;&gt;"",I477&lt;&gt;""),I477-H477,"")</f>
        <v/>
      </c>
      <c r="M477">
        <f>IF(AND(H477&lt;&gt;"",H477&lt;&gt;0,I477&lt;&gt;""),(I477-H477)/H477*100,"")</f>
        <v/>
      </c>
      <c r="P477">
        <f>IF(ISNUMBER(M477),ABS(M477),"")</f>
        <v/>
      </c>
    </row>
    <row r="478">
      <c r="L478">
        <f>IF(AND(H478&lt;&gt;"",I478&lt;&gt;""),I478-H478,"")</f>
        <v/>
      </c>
      <c r="M478">
        <f>IF(AND(H478&lt;&gt;"",H478&lt;&gt;0,I478&lt;&gt;""),(I478-H478)/H478*100,"")</f>
        <v/>
      </c>
      <c r="P478">
        <f>IF(ISNUMBER(M478),ABS(M478),"")</f>
        <v/>
      </c>
    </row>
    <row r="479">
      <c r="L479">
        <f>IF(AND(H479&lt;&gt;"",I479&lt;&gt;""),I479-H479,"")</f>
        <v/>
      </c>
      <c r="M479">
        <f>IF(AND(H479&lt;&gt;"",H479&lt;&gt;0,I479&lt;&gt;""),(I479-H479)/H479*100,"")</f>
        <v/>
      </c>
      <c r="P479">
        <f>IF(ISNUMBER(M479),ABS(M479),"")</f>
        <v/>
      </c>
    </row>
    <row r="480">
      <c r="L480">
        <f>IF(AND(H480&lt;&gt;"",I480&lt;&gt;""),I480-H480,"")</f>
        <v/>
      </c>
      <c r="M480">
        <f>IF(AND(H480&lt;&gt;"",H480&lt;&gt;0,I480&lt;&gt;""),(I480-H480)/H480*100,"")</f>
        <v/>
      </c>
      <c r="P480">
        <f>IF(ISNUMBER(M480),ABS(M480),"")</f>
        <v/>
      </c>
    </row>
    <row r="481">
      <c r="L481">
        <f>IF(AND(H481&lt;&gt;"",I481&lt;&gt;""),I481-H481,"")</f>
        <v/>
      </c>
      <c r="M481">
        <f>IF(AND(H481&lt;&gt;"",H481&lt;&gt;0,I481&lt;&gt;""),(I481-H481)/H481*100,"")</f>
        <v/>
      </c>
      <c r="P481">
        <f>IF(ISNUMBER(M481),ABS(M481),"")</f>
        <v/>
      </c>
    </row>
    <row r="482">
      <c r="L482">
        <f>IF(AND(H482&lt;&gt;"",I482&lt;&gt;""),I482-H482,"")</f>
        <v/>
      </c>
      <c r="M482">
        <f>IF(AND(H482&lt;&gt;"",H482&lt;&gt;0,I482&lt;&gt;""),(I482-H482)/H482*100,"")</f>
        <v/>
      </c>
      <c r="P482">
        <f>IF(ISNUMBER(M482),ABS(M482),"")</f>
        <v/>
      </c>
    </row>
    <row r="483">
      <c r="L483">
        <f>IF(AND(H483&lt;&gt;"",I483&lt;&gt;""),I483-H483,"")</f>
        <v/>
      </c>
      <c r="M483">
        <f>IF(AND(H483&lt;&gt;"",H483&lt;&gt;0,I483&lt;&gt;""),(I483-H483)/H483*100,"")</f>
        <v/>
      </c>
      <c r="P483">
        <f>IF(ISNUMBER(M483),ABS(M483),"")</f>
        <v/>
      </c>
    </row>
    <row r="484">
      <c r="L484">
        <f>IF(AND(H484&lt;&gt;"",I484&lt;&gt;""),I484-H484,"")</f>
        <v/>
      </c>
      <c r="M484">
        <f>IF(AND(H484&lt;&gt;"",H484&lt;&gt;0,I484&lt;&gt;""),(I484-H484)/H484*100,"")</f>
        <v/>
      </c>
      <c r="P484">
        <f>IF(ISNUMBER(M484),ABS(M484),"")</f>
        <v/>
      </c>
    </row>
    <row r="485">
      <c r="L485">
        <f>IF(AND(H485&lt;&gt;"",I485&lt;&gt;""),I485-H485,"")</f>
        <v/>
      </c>
      <c r="M485">
        <f>IF(AND(H485&lt;&gt;"",H485&lt;&gt;0,I485&lt;&gt;""),(I485-H485)/H485*100,"")</f>
        <v/>
      </c>
      <c r="P485">
        <f>IF(ISNUMBER(M485),ABS(M485),"")</f>
        <v/>
      </c>
    </row>
    <row r="486">
      <c r="L486">
        <f>IF(AND(H486&lt;&gt;"",I486&lt;&gt;""),I486-H486,"")</f>
        <v/>
      </c>
      <c r="M486">
        <f>IF(AND(H486&lt;&gt;"",H486&lt;&gt;0,I486&lt;&gt;""),(I486-H486)/H486*100,"")</f>
        <v/>
      </c>
      <c r="P486">
        <f>IF(ISNUMBER(M486),ABS(M486),"")</f>
        <v/>
      </c>
    </row>
    <row r="487">
      <c r="L487">
        <f>IF(AND(H487&lt;&gt;"",I487&lt;&gt;""),I487-H487,"")</f>
        <v/>
      </c>
      <c r="M487">
        <f>IF(AND(H487&lt;&gt;"",H487&lt;&gt;0,I487&lt;&gt;""),(I487-H487)/H487*100,"")</f>
        <v/>
      </c>
      <c r="P487">
        <f>IF(ISNUMBER(M487),ABS(M487),"")</f>
        <v/>
      </c>
    </row>
    <row r="488">
      <c r="L488">
        <f>IF(AND(H488&lt;&gt;"",I488&lt;&gt;""),I488-H488,"")</f>
        <v/>
      </c>
      <c r="M488">
        <f>IF(AND(H488&lt;&gt;"",H488&lt;&gt;0,I488&lt;&gt;""),(I488-H488)/H488*100,"")</f>
        <v/>
      </c>
      <c r="P488">
        <f>IF(ISNUMBER(M488),ABS(M488),"")</f>
        <v/>
      </c>
    </row>
    <row r="489">
      <c r="L489">
        <f>IF(AND(H489&lt;&gt;"",I489&lt;&gt;""),I489-H489,"")</f>
        <v/>
      </c>
      <c r="M489">
        <f>IF(AND(H489&lt;&gt;"",H489&lt;&gt;0,I489&lt;&gt;""),(I489-H489)/H489*100,"")</f>
        <v/>
      </c>
      <c r="P489">
        <f>IF(ISNUMBER(M489),ABS(M489),"")</f>
        <v/>
      </c>
    </row>
    <row r="490">
      <c r="L490">
        <f>IF(AND(H490&lt;&gt;"",I490&lt;&gt;""),I490-H490,"")</f>
        <v/>
      </c>
      <c r="M490">
        <f>IF(AND(H490&lt;&gt;"",H490&lt;&gt;0,I490&lt;&gt;""),(I490-H490)/H490*100,"")</f>
        <v/>
      </c>
      <c r="P490">
        <f>IF(ISNUMBER(M490),ABS(M490),"")</f>
        <v/>
      </c>
    </row>
    <row r="491">
      <c r="L491">
        <f>IF(AND(H491&lt;&gt;"",I491&lt;&gt;""),I491-H491,"")</f>
        <v/>
      </c>
      <c r="M491">
        <f>IF(AND(H491&lt;&gt;"",H491&lt;&gt;0,I491&lt;&gt;""),(I491-H491)/H491*100,"")</f>
        <v/>
      </c>
      <c r="P491">
        <f>IF(ISNUMBER(M491),ABS(M491),"")</f>
        <v/>
      </c>
    </row>
    <row r="492">
      <c r="L492">
        <f>IF(AND(H492&lt;&gt;"",I492&lt;&gt;""),I492-H492,"")</f>
        <v/>
      </c>
      <c r="M492">
        <f>IF(AND(H492&lt;&gt;"",H492&lt;&gt;0,I492&lt;&gt;""),(I492-H492)/H492*100,"")</f>
        <v/>
      </c>
      <c r="P492">
        <f>IF(ISNUMBER(M492),ABS(M492),"")</f>
        <v/>
      </c>
    </row>
    <row r="493">
      <c r="L493">
        <f>IF(AND(H493&lt;&gt;"",I493&lt;&gt;""),I493-H493,"")</f>
        <v/>
      </c>
      <c r="M493">
        <f>IF(AND(H493&lt;&gt;"",H493&lt;&gt;0,I493&lt;&gt;""),(I493-H493)/H493*100,"")</f>
        <v/>
      </c>
      <c r="P493">
        <f>IF(ISNUMBER(M493),ABS(M493),"")</f>
        <v/>
      </c>
    </row>
    <row r="494">
      <c r="L494">
        <f>IF(AND(H494&lt;&gt;"",I494&lt;&gt;""),I494-H494,"")</f>
        <v/>
      </c>
      <c r="M494">
        <f>IF(AND(H494&lt;&gt;"",H494&lt;&gt;0,I494&lt;&gt;""),(I494-H494)/H494*100,"")</f>
        <v/>
      </c>
      <c r="P494">
        <f>IF(ISNUMBER(M494),ABS(M494),"")</f>
        <v/>
      </c>
    </row>
    <row r="495">
      <c r="L495">
        <f>IF(AND(H495&lt;&gt;"",I495&lt;&gt;""),I495-H495,"")</f>
        <v/>
      </c>
      <c r="M495">
        <f>IF(AND(H495&lt;&gt;"",H495&lt;&gt;0,I495&lt;&gt;""),(I495-H495)/H495*100,"")</f>
        <v/>
      </c>
      <c r="P495">
        <f>IF(ISNUMBER(M495),ABS(M495),"")</f>
        <v/>
      </c>
    </row>
    <row r="496">
      <c r="L496">
        <f>IF(AND(H496&lt;&gt;"",I496&lt;&gt;""),I496-H496,"")</f>
        <v/>
      </c>
      <c r="M496">
        <f>IF(AND(H496&lt;&gt;"",H496&lt;&gt;0,I496&lt;&gt;""),(I496-H496)/H496*100,"")</f>
        <v/>
      </c>
      <c r="P496">
        <f>IF(ISNUMBER(M496),ABS(M496),"")</f>
        <v/>
      </c>
    </row>
    <row r="497">
      <c r="L497">
        <f>IF(AND(H497&lt;&gt;"",I497&lt;&gt;""),I497-H497,"")</f>
        <v/>
      </c>
      <c r="M497">
        <f>IF(AND(H497&lt;&gt;"",H497&lt;&gt;0,I497&lt;&gt;""),(I497-H497)/H497*100,"")</f>
        <v/>
      </c>
      <c r="P497">
        <f>IF(ISNUMBER(M497),ABS(M497),"")</f>
        <v/>
      </c>
    </row>
    <row r="498">
      <c r="L498">
        <f>IF(AND(H498&lt;&gt;"",I498&lt;&gt;""),I498-H498,"")</f>
        <v/>
      </c>
      <c r="M498">
        <f>IF(AND(H498&lt;&gt;"",H498&lt;&gt;0,I498&lt;&gt;""),(I498-H498)/H498*100,"")</f>
        <v/>
      </c>
      <c r="P498">
        <f>IF(ISNUMBER(M498),ABS(M498),"")</f>
        <v/>
      </c>
    </row>
    <row r="499">
      <c r="L499">
        <f>IF(AND(H499&lt;&gt;"",I499&lt;&gt;""),I499-H499,"")</f>
        <v/>
      </c>
      <c r="M499">
        <f>IF(AND(H499&lt;&gt;"",H499&lt;&gt;0,I499&lt;&gt;""),(I499-H499)/H499*100,"")</f>
        <v/>
      </c>
      <c r="P499">
        <f>IF(ISNUMBER(M499),ABS(M499),"")</f>
        <v/>
      </c>
    </row>
    <row r="500">
      <c r="L500">
        <f>IF(AND(H500&lt;&gt;"",I500&lt;&gt;""),I500-H500,"")</f>
        <v/>
      </c>
      <c r="M500">
        <f>IF(AND(H500&lt;&gt;"",H500&lt;&gt;0,I500&lt;&gt;""),(I500-H500)/H500*100,"")</f>
        <v/>
      </c>
      <c r="P500">
        <f>IF(ISNUMBER(M500),ABS(M500),"")</f>
        <v/>
      </c>
    </row>
  </sheetData>
  <autoFilter ref="A1:O1"/>
  <conditionalFormatting sqref="M2:M500">
    <cfRule type="expression" priority="1" dxfId="0">
      <formula>AND(ISNUMBER($M2),$M2&gt;20)</formula>
    </cfRule>
    <cfRule type="expression" priority="2" dxfId="1">
      <formula>AND(ISNUMBER($M2),$M2&lt;-20)</formula>
    </cfRule>
    <cfRule type="expression" priority="3" dxfId="2">
      <formula>AND(ISNUMBER($M2),$M2&gt;=-10,$M2&lt;=10)</formula>
    </cfRule>
  </conditionalFormatting>
  <dataValidations count="3">
    <dataValidation sqref="F2:F500" showDropDown="0" showInputMessage="0" showErrorMessage="0" allowBlank="1" type="list">
      <formula1>=Listas!$A$2:$A$9</formula1>
    </dataValidation>
    <dataValidation sqref="K2:K500" showDropDown="0" showInputMessage="0" showErrorMessage="0" allowBlank="1" type="list">
      <formula1>=Listas!$B$2:$B$5</formula1>
    </dataValidation>
    <dataValidation sqref="D2:D500" showDropDown="0" showInputMessage="0" showErrorMessage="0" allowBlank="1" type="list">
      <formula1>=Listas!$D$2:$D$5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1" customWidth="1" min="3" max="3"/>
    <col width="19" customWidth="1" min="4" max="4"/>
    <col width="13" customWidth="1" min="5" max="5"/>
    <col width="13" customWidth="1" min="6" max="6"/>
  </cols>
  <sheetData>
    <row r="1" ht="30" customHeight="1">
      <c r="A1" s="1" t="inlineStr">
        <is>
          <t>ID da Estimativa</t>
        </is>
      </c>
      <c r="B1" s="1" t="inlineStr">
        <is>
          <t>Versão</t>
        </is>
      </c>
      <c r="C1" s="1" t="inlineStr">
        <is>
          <t>Alteração Realizada</t>
        </is>
      </c>
      <c r="D1" s="1" t="inlineStr">
        <is>
          <t>Motivo da Revisão</t>
        </is>
      </c>
      <c r="E1" s="1" t="inlineStr">
        <is>
          <t>Data</t>
        </is>
      </c>
      <c r="F1" s="1" t="inlineStr">
        <is>
          <t>Responsável</t>
        </is>
      </c>
    </row>
  </sheetData>
  <autoFilter ref="A1:F1"/>
  <dataValidations count="1">
    <dataValidation sqref="B2:B500" showDropDown="0" showInputMessage="0" showErrorMessage="0" allowBlank="1" type="list">
      <formula1>=Listas!$D$2:$D$5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4" customWidth="1" min="4" max="4"/>
    <col width="16" customWidth="1" min="5" max="5"/>
    <col width="14" customWidth="1" min="6" max="6"/>
    <col width="14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Análises do Histórico de Estimativas</t>
        </is>
      </c>
    </row>
    <row r="2">
      <c r="A2" s="4" t="inlineStr">
        <is>
          <t>Indicadores (KPIs)</t>
        </is>
      </c>
      <c r="D2" s="4" t="inlineStr">
        <is>
          <t>Técnicas Mais Precisas</t>
        </is>
      </c>
      <c r="H2" s="4" t="inlineStr">
        <is>
          <t>Desvio Médio por Versão</t>
        </is>
      </c>
    </row>
    <row r="3">
      <c r="A3" s="5" t="inlineStr">
        <is>
          <t>Total de Estimativas</t>
        </is>
      </c>
      <c r="B3">
        <f>COUNTA(Estimativas!A2:A500)</f>
        <v/>
      </c>
      <c r="D3" s="5" t="inlineStr">
        <is>
          <t>Técnica</t>
        </is>
      </c>
      <c r="E3" s="5" t="inlineStr">
        <is>
          <t>Desvio Médio (%)</t>
        </is>
      </c>
      <c r="F3" s="5" t="inlineStr">
        <is>
          <t>Precisão (%)</t>
        </is>
      </c>
      <c r="H3" s="5" t="inlineStr">
        <is>
          <t>Versão</t>
        </is>
      </c>
      <c r="I3" s="5" t="inlineStr">
        <is>
          <t>Desvio Médio (%)</t>
        </is>
      </c>
      <c r="J3" s="5" t="inlineStr">
        <is>
          <t>Esforço Estimado</t>
        </is>
      </c>
      <c r="K3" s="5" t="inlineStr">
        <is>
          <t>Esforço Real</t>
        </is>
      </c>
    </row>
    <row r="4">
      <c r="A4" s="5" t="inlineStr">
        <is>
          <t>Desvio Médio (%)</t>
        </is>
      </c>
      <c r="B4">
        <f>IFERROR(AVERAGE(Estimativas!M2:M500),"")</f>
        <v/>
      </c>
      <c r="D4" t="inlineStr">
        <is>
          <t>PSP</t>
        </is>
      </c>
      <c r="E4">
        <f>IFERROR(AVERAGEIF(Estimativas!F2:F500,$D4,Estimativas!M2:M500),"")</f>
        <v/>
      </c>
      <c r="F4">
        <f>IFERROR(100-AVERAGEIF(Estimativas!F2:F500,$D4,Estimativas!P2:P500),"")</f>
        <v/>
      </c>
      <c r="H4" t="inlineStr">
        <is>
          <t>1.0.0</t>
        </is>
      </c>
      <c r="I4">
        <f>IFERROR(AVERAGEIF(Estimativas!D2:D500,$H4,Estimativas!M2:M500),"")</f>
        <v/>
      </c>
      <c r="J4">
        <f>SUMIF(Estimativas!D2:D500,$H4,Estimativas!H2:H500)</f>
        <v/>
      </c>
      <c r="K4">
        <f>SUMIF(Estimativas!D2:D500,$H4,Estimativas!I2:I500)</f>
        <v/>
      </c>
    </row>
    <row r="5">
      <c r="A5" s="5" t="inlineStr">
        <is>
          <t>Precisão Média (%)</t>
        </is>
      </c>
      <c r="B5">
        <f>IFERROR(100-AVERAGE(Estimativas!P2:P500),"")</f>
        <v/>
      </c>
      <c r="D5" t="inlineStr">
        <is>
          <t>Wideband Delphi</t>
        </is>
      </c>
      <c r="E5">
        <f>IFERROR(AVERAGEIF(Estimativas!F2:F500,$D5,Estimativas!M2:M500),"")</f>
        <v/>
      </c>
      <c r="F5">
        <f>IFERROR(100-AVERAGEIF(Estimativas!F2:F500,$D5,Estimativas!P2:P500),"")</f>
        <v/>
      </c>
      <c r="H5" t="inlineStr">
        <is>
          <t>1.1.0</t>
        </is>
      </c>
      <c r="I5">
        <f>IFERROR(AVERAGEIF(Estimativas!D2:D500,$H5,Estimativas!M2:M500),"")</f>
        <v/>
      </c>
      <c r="J5">
        <f>SUMIF(Estimativas!D2:D500,$H5,Estimativas!H2:H500)</f>
        <v/>
      </c>
      <c r="K5">
        <f>SUMIF(Estimativas!D2:D500,$H5,Estimativas!I2:I500)</f>
        <v/>
      </c>
    </row>
    <row r="6">
      <c r="A6" s="5" t="inlineStr">
        <is>
          <t>Maior Desvio (%)</t>
        </is>
      </c>
      <c r="B6">
        <f>IFERROR(MAX(Estimativas!M2:M500),"")</f>
        <v/>
      </c>
      <c r="D6" t="inlineStr">
        <is>
          <t>Planning Poker</t>
        </is>
      </c>
      <c r="E6">
        <f>IFERROR(AVERAGEIF(Estimativas!F2:F500,$D6,Estimativas!M2:M500),"")</f>
        <v/>
      </c>
      <c r="F6">
        <f>IFERROR(100-AVERAGEIF(Estimativas!F2:F500,$D6,Estimativas!P2:P500),"")</f>
        <v/>
      </c>
      <c r="H6" t="inlineStr">
        <is>
          <t>1.2.0</t>
        </is>
      </c>
      <c r="I6">
        <f>IFERROR(AVERAGEIF(Estimativas!D2:D500,$H6,Estimativas!M2:M500),"")</f>
        <v/>
      </c>
      <c r="J6">
        <f>SUMIF(Estimativas!D2:D500,$H6,Estimativas!H2:H500)</f>
        <v/>
      </c>
      <c r="K6">
        <f>SUMIF(Estimativas!D2:D500,$H6,Estimativas!I2:I500)</f>
        <v/>
      </c>
    </row>
    <row r="7">
      <c r="A7" s="5" t="inlineStr">
        <is>
          <t>Menor Desvio (%)</t>
        </is>
      </c>
      <c r="B7">
        <f>IFERROR(MIN(Estimativas!M2:M500),"")</f>
        <v/>
      </c>
      <c r="D7" t="inlineStr">
        <is>
          <t>Pontos de Função</t>
        </is>
      </c>
      <c r="E7">
        <f>IFERROR(AVERAGEIF(Estimativas!F2:F500,$D7,Estimativas!M2:M500),"")</f>
        <v/>
      </c>
      <c r="F7">
        <f>IFERROR(100-AVERAGEIF(Estimativas!F2:F500,$D7,Estimativas!P2:P500),"")</f>
        <v/>
      </c>
      <c r="H7" t="inlineStr">
        <is>
          <t>2.0.0</t>
        </is>
      </c>
      <c r="I7">
        <f>IFERROR(AVERAGEIF(Estimativas!D2:D500,$H7,Estimativas!M2:M500),"")</f>
        <v/>
      </c>
      <c r="J7">
        <f>SUMIF(Estimativas!D2:D500,$H7,Estimativas!H2:H500)</f>
        <v/>
      </c>
      <c r="K7">
        <f>SUMIF(Estimativas!D2:D500,$H7,Estimativas!I2:I500)</f>
        <v/>
      </c>
    </row>
    <row r="8">
      <c r="D8" t="inlineStr">
        <is>
          <t>Análise Histórica</t>
        </is>
      </c>
      <c r="E8">
        <f>IFERROR(AVERAGEIF(Estimativas!F2:F500,$D8,Estimativas!M2:M500),"")</f>
        <v/>
      </c>
      <c r="F8">
        <f>IFERROR(100-AVERAGEIF(Estimativas!F2:F500,$D8,Estimativas!P2:P500),"")</f>
        <v/>
      </c>
    </row>
    <row r="9">
      <c r="D9" t="inlineStr">
        <is>
          <t>Estimativa de Três Pontos</t>
        </is>
      </c>
      <c r="E9">
        <f>IFERROR(AVERAGEIF(Estimativas!F2:F500,$D9,Estimativas!M2:M500),"")</f>
        <v/>
      </c>
      <c r="F9">
        <f>IFERROR(100-AVERAGEIF(Estimativas!F2:F500,$D9,Estimativas!P2:P500),"")</f>
        <v/>
      </c>
      <c r="H9" s="4" t="inlineStr">
        <is>
          <t>Evolução da Precisão (Mensal)</t>
        </is>
      </c>
    </row>
    <row r="10">
      <c r="D10" t="inlineStr">
        <is>
          <t>Opinião Especializada</t>
        </is>
      </c>
      <c r="E10">
        <f>IFERROR(AVERAGEIF(Estimativas!F2:F500,$D10,Estimativas!M2:M500),"")</f>
        <v/>
      </c>
      <c r="F10">
        <f>IFERROR(100-AVERAGEIF(Estimativas!F2:F500,$D10,Estimativas!P2:P500),"")</f>
        <v/>
      </c>
      <c r="H10" s="5" t="inlineStr">
        <is>
          <t>Mês</t>
        </is>
      </c>
      <c r="I10" s="5" t="inlineStr">
        <is>
          <t>Precisão (%)</t>
        </is>
      </c>
    </row>
    <row r="11">
      <c r="D11" t="inlineStr">
        <is>
          <t>Outra</t>
        </is>
      </c>
      <c r="E11">
        <f>IFERROR(AVERAGEIF(Estimativas!F2:F500,$D11,Estimativas!M2:M500),"")</f>
        <v/>
      </c>
      <c r="F11">
        <f>IFERROR(100-AVERAGEIF(Estimativas!F2:F500,$D11,Estimativas!P2:P500),"")</f>
        <v/>
      </c>
      <c r="H11" t="inlineStr">
        <is>
          <t>2026-01</t>
        </is>
      </c>
      <c r="I11">
        <f>IFERROR(100-AVERAGEIFS(Estimativas!$P$2:$P$500,Estimativas!$G$2:$G$500,"&gt;="&amp;DATE(2026,1,1),Estimativas!$G$2:$G$500,"&lt;="&amp;DATE(2026,1,DAY(EOMONTH(DATE(2026,1,1),0)))),"")</f>
        <v/>
      </c>
    </row>
    <row r="12">
      <c r="H12" t="inlineStr">
        <is>
          <t>2026-02</t>
        </is>
      </c>
      <c r="I12">
        <f>IFERROR(100-AVERAGEIFS(Estimativas!$P$2:$P$500,Estimativas!$G$2:$G$500,"&gt;="&amp;DATE(2026,2,1),Estimativas!$G$2:$G$500,"&lt;="&amp;DATE(2026,2,DAY(EOMONTH(DATE(2026,2,1),0)))),"")</f>
        <v/>
      </c>
    </row>
    <row r="13">
      <c r="D13" s="4" t="inlineStr">
        <is>
          <t>Precisão por Responsável</t>
        </is>
      </c>
      <c r="H13" t="inlineStr">
        <is>
          <t>2026-03</t>
        </is>
      </c>
      <c r="I13">
        <f>IFERROR(100-AVERAGEIFS(Estimativas!$P$2:$P$500,Estimativas!$G$2:$G$500,"&gt;="&amp;DATE(2026,3,1),Estimativas!$G$2:$G$500,"&lt;="&amp;DATE(2026,3,DAY(EOMONTH(DATE(2026,3,1),0)))),"")</f>
        <v/>
      </c>
    </row>
    <row r="14">
      <c r="D14" s="5" t="inlineStr">
        <is>
          <t>Responsável</t>
        </is>
      </c>
      <c r="E14" s="5" t="inlineStr">
        <is>
          <t>Precisão (%)</t>
        </is>
      </c>
      <c r="H14" t="inlineStr">
        <is>
          <t>2026-04</t>
        </is>
      </c>
      <c r="I14">
        <f>IFERROR(100-AVERAGEIFS(Estimativas!$P$2:$P$500,Estimativas!$G$2:$G$500,"&gt;="&amp;DATE(2026,4,1),Estimativas!$G$2:$G$500,"&lt;="&amp;DATE(2026,4,DAY(EOMONTH(DATE(2026,4,1),0)))),"")</f>
        <v/>
      </c>
    </row>
    <row r="15">
      <c r="E15">
        <f>IF($D15="","",IFERROR(100-AVERAGEIF(Estimativas!N2:N500,$D15,Estimativas!P2:P500),""))</f>
        <v/>
      </c>
      <c r="H15" t="inlineStr">
        <is>
          <t>2026-05</t>
        </is>
      </c>
      <c r="I15">
        <f>IFERROR(100-AVERAGEIFS(Estimativas!$P$2:$P$500,Estimativas!$G$2:$G$500,"&gt;="&amp;DATE(2026,5,1),Estimativas!$G$2:$G$500,"&lt;="&amp;DATE(2026,5,DAY(EOMONTH(DATE(2026,5,1),0)))),"")</f>
        <v/>
      </c>
    </row>
    <row r="16">
      <c r="E16">
        <f>IF($D16="","",IFERROR(100-AVERAGEIF(Estimativas!N2:N500,$D16,Estimativas!P2:P500),""))</f>
        <v/>
      </c>
      <c r="H16" t="inlineStr">
        <is>
          <t>2026-06</t>
        </is>
      </c>
      <c r="I16">
        <f>IFERROR(100-AVERAGEIFS(Estimativas!$P$2:$P$500,Estimativas!$G$2:$G$500,"&gt;="&amp;DATE(2026,6,1),Estimativas!$G$2:$G$500,"&lt;="&amp;DATE(2026,6,DAY(EOMONTH(DATE(2026,6,1),0)))),"")</f>
        <v/>
      </c>
    </row>
    <row r="17">
      <c r="E17">
        <f>IF($D17="","",IFERROR(100-AVERAGEIF(Estimativas!N2:N500,$D17,Estimativas!P2:P500),""))</f>
        <v/>
      </c>
      <c r="H17" t="inlineStr">
        <is>
          <t>2026-07</t>
        </is>
      </c>
      <c r="I17">
        <f>IFERROR(100-AVERAGEIFS(Estimativas!$P$2:$P$500,Estimativas!$G$2:$G$500,"&gt;="&amp;DATE(2026,7,1),Estimativas!$G$2:$G$500,"&lt;="&amp;DATE(2026,7,DAY(EOMONTH(DATE(2026,7,1),0)))),"")</f>
        <v/>
      </c>
    </row>
    <row r="18">
      <c r="E18">
        <f>IF($D18="","",IFERROR(100-AVERAGEIF(Estimativas!N2:N500,$D18,Estimativas!P2:P500),""))</f>
        <v/>
      </c>
      <c r="H18" t="inlineStr">
        <is>
          <t>2026-08</t>
        </is>
      </c>
      <c r="I18">
        <f>IFERROR(100-AVERAGEIFS(Estimativas!$P$2:$P$500,Estimativas!$G$2:$G$500,"&gt;="&amp;DATE(2026,8,1),Estimativas!$G$2:$G$500,"&lt;="&amp;DATE(2026,8,DAY(EOMONTH(DATE(2026,8,1),0)))),"")</f>
        <v/>
      </c>
    </row>
    <row r="19">
      <c r="E19">
        <f>IF($D19="","",IFERROR(100-AVERAGEIF(Estimativas!N2:N500,$D19,Estimativas!P2:P500),""))</f>
        <v/>
      </c>
      <c r="H19" t="inlineStr">
        <is>
          <t>2026-09</t>
        </is>
      </c>
      <c r="I19">
        <f>IFERROR(100-AVERAGEIFS(Estimativas!$P$2:$P$500,Estimativas!$G$2:$G$500,"&gt;="&amp;DATE(2026,9,1),Estimativas!$G$2:$G$500,"&lt;="&amp;DATE(2026,9,DAY(EOMONTH(DATE(2026,9,1),0)))),"")</f>
        <v/>
      </c>
    </row>
    <row r="20">
      <c r="E20">
        <f>IF($D20="","",IFERROR(100-AVERAGEIF(Estimativas!N2:N500,$D20,Estimativas!P2:P500),""))</f>
        <v/>
      </c>
      <c r="H20" t="inlineStr">
        <is>
          <t>2026-10</t>
        </is>
      </c>
      <c r="I20">
        <f>IFERROR(100-AVERAGEIFS(Estimativas!$P$2:$P$500,Estimativas!$G$2:$G$500,"&gt;="&amp;DATE(2026,10,1),Estimativas!$G$2:$G$500,"&lt;="&amp;DATE(2026,10,DAY(EOMONTH(DATE(2026,10,1),0)))),"")</f>
        <v/>
      </c>
    </row>
    <row r="21">
      <c r="E21">
        <f>IF($D21="","",IFERROR(100-AVERAGEIF(Estimativas!N2:N500,$D21,Estimativas!P2:P500),""))</f>
        <v/>
      </c>
      <c r="H21" t="inlineStr">
        <is>
          <t>2026-11</t>
        </is>
      </c>
      <c r="I21">
        <f>IFERROR(100-AVERAGEIFS(Estimativas!$P$2:$P$500,Estimativas!$G$2:$G$500,"&gt;="&amp;DATE(2026,11,1),Estimativas!$G$2:$G$500,"&lt;="&amp;DATE(2026,11,DAY(EOMONTH(DATE(2026,11,1),0)))),"")</f>
        <v/>
      </c>
    </row>
    <row r="22">
      <c r="E22">
        <f>IF($D22="","",IFERROR(100-AVERAGEIF(Estimativas!N2:N500,$D22,Estimativas!P2:P500),""))</f>
        <v/>
      </c>
      <c r="H22" t="inlineStr">
        <is>
          <t>2026-12</t>
        </is>
      </c>
      <c r="I22">
        <f>IFERROR(100-AVERAGEIFS(Estimativas!$P$2:$P$500,Estimativas!$G$2:$G$500,"&gt;="&amp;DATE(2026,12,1),Estimativas!$G$2:$G$500,"&lt;="&amp;DATE(2026,12,DAY(EOMONTH(DATE(2026,12,1),0)))),"")</f>
        <v/>
      </c>
    </row>
    <row r="23">
      <c r="E23">
        <f>IF($D23="","",IFERROR(100-AVERAGEIF(Estimativas!N2:N500,$D23,Estimativas!P2:P500),""))</f>
        <v/>
      </c>
    </row>
    <row r="24">
      <c r="E24">
        <f>IF($D24="","",IFERROR(100-AVERAGEIF(Estimativas!N2:N500,$D24,Estimativas!P2:P500),""))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6" t="inlineStr">
        <is>
          <t>Painel do Histórico de Estimativas</t>
        </is>
      </c>
    </row>
    <row r="3">
      <c r="A3" s="4" t="inlineStr">
        <is>
          <t>Indicadores (KPIs)</t>
        </is>
      </c>
    </row>
    <row r="4">
      <c r="A4" s="5" t="inlineStr">
        <is>
          <t>Total de Estimativas</t>
        </is>
      </c>
      <c r="B4">
        <f>Analises!B3</f>
        <v/>
      </c>
    </row>
    <row r="5">
      <c r="A5" s="5" t="inlineStr">
        <is>
          <t>Desvio Médio (%)</t>
        </is>
      </c>
      <c r="B5">
        <f>Analises!B4</f>
        <v/>
      </c>
    </row>
    <row r="6">
      <c r="A6" s="5" t="inlineStr">
        <is>
          <t>Precisão Média (%)</t>
        </is>
      </c>
      <c r="B6">
        <f>Analises!B5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2" t="inlineStr">
        <is>
          <t>Técnica de Estimativa</t>
        </is>
      </c>
      <c r="B1" s="2" t="inlineStr">
        <is>
          <t>Complexidade</t>
        </is>
      </c>
      <c r="C1" s="2" t="inlineStr">
        <is>
          <t>Status</t>
        </is>
      </c>
      <c r="D1" s="2" t="inlineStr">
        <is>
          <t>Versão</t>
        </is>
      </c>
    </row>
    <row r="2">
      <c r="A2" t="inlineStr">
        <is>
          <t>PSP</t>
        </is>
      </c>
      <c r="B2" t="inlineStr">
        <is>
          <t>Baixa</t>
        </is>
      </c>
      <c r="C2" t="inlineStr">
        <is>
          <t>Planejado</t>
        </is>
      </c>
      <c r="D2" t="inlineStr">
        <is>
          <t>1.0.0</t>
        </is>
      </c>
    </row>
    <row r="3">
      <c r="A3" t="inlineStr">
        <is>
          <t>Wideband Delphi</t>
        </is>
      </c>
      <c r="B3" t="inlineStr">
        <is>
          <t>Média</t>
        </is>
      </c>
      <c r="C3" t="inlineStr">
        <is>
          <t>Em Execução</t>
        </is>
      </c>
      <c r="D3" t="inlineStr">
        <is>
          <t>1.1.0</t>
        </is>
      </c>
    </row>
    <row r="4">
      <c r="A4" t="inlineStr">
        <is>
          <t>Planning Poker</t>
        </is>
      </c>
      <c r="B4" t="inlineStr">
        <is>
          <t>Alta</t>
        </is>
      </c>
      <c r="C4" t="inlineStr">
        <is>
          <t>Concluído</t>
        </is>
      </c>
      <c r="D4" t="inlineStr">
        <is>
          <t>1.2.0</t>
        </is>
      </c>
    </row>
    <row r="5">
      <c r="A5" t="inlineStr">
        <is>
          <t>Pontos de Função</t>
        </is>
      </c>
      <c r="B5" t="inlineStr">
        <is>
          <t>Muito Alta</t>
        </is>
      </c>
      <c r="C5" t="inlineStr">
        <is>
          <t>Cancelado</t>
        </is>
      </c>
      <c r="D5" t="inlineStr">
        <is>
          <t>2.0.0</t>
        </is>
      </c>
    </row>
    <row r="6">
      <c r="A6" t="inlineStr">
        <is>
          <t>Análise Histórica</t>
        </is>
      </c>
    </row>
    <row r="7">
      <c r="A7" t="inlineStr">
        <is>
          <t>Estimativa de Três Pontos</t>
        </is>
      </c>
    </row>
    <row r="8">
      <c r="A8" t="inlineStr">
        <is>
          <t>Opinião Especializada</t>
        </is>
      </c>
    </row>
    <row r="9">
      <c r="A9" t="inlineStr">
        <is>
          <t>Outra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2026-06-06T17:18:28Z</dcterms:created>
  <dcterms:modified xsi:type="dcterms:W3CDTF">2026-06-06T17:18:28Z</dcterms:modified>
</cp:coreProperties>
</file>