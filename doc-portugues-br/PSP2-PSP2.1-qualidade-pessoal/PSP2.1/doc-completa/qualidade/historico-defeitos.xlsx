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itos" sheetId="1" state="visible" r:id="rId1"/>
    <sheet name="Historico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'Defeitos'!$A$1:$N$1</definedName>
    <definedName name="_xlnm._FilterDatabase" localSheetId="1" hidden="1">'Historico'!$A$1:$F$1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Tipo</a:t>
            </a:r>
          </a:p>
        </rich>
      </tx>
    </title>
    <plotArea>
      <pieChart>
        <varyColors val="1"/>
        <ser>
          <idx val="0"/>
          <order val="0"/>
          <tx>
            <strRef>
              <f>'Analises'!E10</f>
            </strRef>
          </tx>
          <spPr>
            <a:ln>
              <a:prstDash val="solid"/>
            </a:ln>
          </spPr>
          <cat>
            <numRef>
              <f>'Analises'!$D$11:$D$20</f>
            </numRef>
          </cat>
          <val>
            <numRef>
              <f>'Analises'!$E$11:$E$20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Severidade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numRef>
              <f>'Analises'!$D$4:$D$7</f>
            </numRef>
          </cat>
          <val>
            <numRef>
              <f>'Analises'!$E$4:$E$7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Temporal (Identificados)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Médio de Correção por Módulo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'Analises'!J3</f>
            </strRef>
          </tx>
          <spPr>
            <a:ln>
              <a:prstDash val="solid"/>
            </a:ln>
          </spPr>
          <cat>
            <numRef>
              <f>'Analises'!$H$4:$H$18</f>
            </numRef>
          </cat>
          <val>
            <numRef>
              <f>'Analises'!$J$4:$J$18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20" customWidth="1" min="11" max="11"/>
    <col width="13" customWidth="1" min="12" max="12"/>
    <col width="26" customWidth="1" min="13" max="13"/>
    <col width="13" customWidth="1" min="14" max="14"/>
  </cols>
  <sheetData>
    <row r="1" ht="30" customHeight="1">
      <c r="A1" s="1" t="inlineStr">
        <is>
          <t>ID</t>
        </is>
      </c>
      <c r="B1" s="1" t="inlineStr">
        <is>
          <t>Data Identificação</t>
        </is>
      </c>
      <c r="C1" s="1" t="inlineStr">
        <is>
          <t>Projeto</t>
        </is>
      </c>
      <c r="D1" s="1" t="inlineStr">
        <is>
          <t>Módulo</t>
        </is>
      </c>
      <c r="E1" s="1" t="inlineStr">
        <is>
          <t>Tipo de Defeito</t>
        </is>
      </c>
      <c r="F1" s="1" t="inlineStr">
        <is>
          <t>Severidade</t>
        </is>
      </c>
      <c r="G1" s="1" t="inlineStr">
        <is>
          <t>Prioridade</t>
        </is>
      </c>
      <c r="H1" s="1" t="inlineStr">
        <is>
          <t>Status</t>
        </is>
      </c>
      <c r="I1" s="1" t="inlineStr">
        <is>
          <t>Origem</t>
        </is>
      </c>
      <c r="J1" s="1" t="inlineStr">
        <is>
          <t>Fase de Detecção</t>
        </is>
      </c>
      <c r="K1" s="1" t="inlineStr">
        <is>
          <t>Fase de Introdução</t>
        </is>
      </c>
      <c r="L1" s="1" t="inlineStr">
        <is>
          <t>Responsável</t>
        </is>
      </c>
      <c r="M1" s="1" t="inlineStr">
        <is>
          <t>Tempo de Correção (dias)</t>
        </is>
      </c>
      <c r="N1" s="1" t="inlineStr">
        <is>
          <t>Causa Raiz</t>
        </is>
      </c>
    </row>
  </sheetData>
  <autoFilter ref="A1:N1"/>
  <conditionalFormatting sqref="F2:F500">
    <cfRule type="expression" priority="1" dxfId="0">
      <formula>EXACT($F2,"Crítica")</formula>
    </cfRule>
    <cfRule type="expression" priority="2" dxfId="1">
      <formula>EXACT($F2,"Alta")</formula>
    </cfRule>
  </conditionalFormatting>
  <conditionalFormatting sqref="H2:H500">
    <cfRule type="expression" priority="3" dxfId="2">
      <formula>EXACT($H2,"Fechado")</formula>
    </cfRule>
  </conditionalFormatting>
  <dataValidations count="7">
    <dataValidation sqref="E2:E500" showDropDown="0" showInputMessage="0" showErrorMessage="0" allowBlank="1" type="list">
      <formula1>=Listas!$C$2:$C$11</formula1>
    </dataValidation>
    <dataValidation sqref="F2:F500" showDropDown="0" showInputMessage="0" showErrorMessage="0" allowBlank="1" type="list">
      <formula1>=Listas!$A$2:$A$5</formula1>
    </dataValidation>
    <dataValidation sqref="G2:G500" showDropDown="0" showInputMessage="0" showErrorMessage="0" allowBlank="1" type="list">
      <formula1>=Listas!$D$2:$D$4</formula1>
    </dataValidation>
    <dataValidation sqref="H2:H500" showDropDown="0" showInputMessage="0" showErrorMessage="0" allowBlank="1" type="list">
      <formula1>=Listas!$B$2:$B$7</formula1>
    </dataValidation>
    <dataValidation sqref="I2:I500" showDropDown="0" showInputMessage="0" showErrorMessage="0" allowBlank="1" type="list">
      <formula1>=Listas!$E$2:$E$7</formula1>
    </dataValidation>
    <dataValidation sqref="J2:J500" showDropDown="0" showInputMessage="0" showErrorMessage="0" allowBlank="1" type="list">
      <formula1>=Listas!$F$2:$F$8</formula1>
    </dataValidation>
    <dataValidation sqref="K2:K500" showDropDown="0" showInputMessage="0" showErrorMessage="0" allowBlank="1" type="list">
      <formula1>=Listas!$F$2:$F$8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9" customWidth="1" min="4" max="4"/>
    <col width="13" customWidth="1" min="5" max="5"/>
    <col width="13" customWidth="1" min="6" max="6"/>
  </cols>
  <sheetData>
    <row r="1" ht="30" customHeight="1">
      <c r="A1" s="1" t="inlineStr">
        <is>
          <t>ID Defeito</t>
        </is>
      </c>
      <c r="B1" s="1" t="inlineStr">
        <is>
          <t>Status Anterior</t>
        </is>
      </c>
      <c r="C1" s="1" t="inlineStr">
        <is>
          <t>Novo Status</t>
        </is>
      </c>
      <c r="D1" s="1" t="inlineStr">
        <is>
          <t>Data da Transição</t>
        </is>
      </c>
      <c r="E1" s="1" t="inlineStr">
        <is>
          <t>Responsável</t>
        </is>
      </c>
      <c r="F1" s="1" t="inlineStr">
        <is>
          <t>Observações</t>
        </is>
      </c>
    </row>
  </sheetData>
  <autoFilter ref="A1:F1"/>
  <dataValidations count="2">
    <dataValidation sqref="B2:B500" showDropDown="0" showInputMessage="0" showErrorMessage="0" allowBlank="1" type="list">
      <formula1>=Listas!$B$2:$B$7</formula1>
    </dataValidation>
    <dataValidation sqref="C2:C500" showDropDown="0" showInputMessage="0" showErrorMessage="0" allowBlank="1" type="list">
      <formula1>=Listas!$B$2:$B$7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4" max="4"/>
    <col width="12" customWidth="1" min="5" max="5"/>
    <col width="22" customWidth="1" min="8" max="8"/>
    <col width="12" customWidth="1" min="9" max="9"/>
    <col width="16" customWidth="1" min="10" max="10"/>
  </cols>
  <sheetData>
    <row r="1">
      <c r="A1" s="2" t="inlineStr">
        <is>
          <t>Análises de Defeitos</t>
        </is>
      </c>
    </row>
    <row r="2">
      <c r="A2" s="3" t="inlineStr">
        <is>
          <t>Indicadores (KPIs)</t>
        </is>
      </c>
      <c r="D2" s="3" t="inlineStr">
        <is>
          <t>Defeitos por Severidade</t>
        </is>
      </c>
      <c r="H2" s="3" t="inlineStr">
        <is>
          <t>Defeitos por Módulo</t>
        </is>
      </c>
    </row>
    <row r="3">
      <c r="A3" s="4" t="inlineStr">
        <is>
          <t>Total de Defeitos</t>
        </is>
      </c>
      <c r="B3">
        <f>COUNTA(Defeitos!A2:A500)</f>
        <v/>
      </c>
      <c r="D3" s="4" t="inlineStr">
        <is>
          <t>Categoria</t>
        </is>
      </c>
      <c r="E3" s="4" t="inlineStr">
        <is>
          <t>Quantidade</t>
        </is>
      </c>
      <c r="H3" s="4" t="inlineStr">
        <is>
          <t>Módulo</t>
        </is>
      </c>
      <c r="I3" s="4" t="inlineStr">
        <is>
          <t>Quantidade</t>
        </is>
      </c>
      <c r="J3" s="4" t="inlineStr">
        <is>
          <t>Tempo Médio (dias)</t>
        </is>
      </c>
    </row>
    <row r="4">
      <c r="A4" s="4" t="inlineStr">
        <is>
          <t>Defeitos Abertos</t>
        </is>
      </c>
      <c r="B4">
        <f>COUNTIF(Defeitos!H2:H500,"Aberto")</f>
        <v/>
      </c>
      <c r="D4" t="inlineStr">
        <is>
          <t>Crítica</t>
        </is>
      </c>
      <c r="E4">
        <f>COUNTIF(Defeitos!F2:F500,$D4)</f>
        <v/>
      </c>
      <c r="I4">
        <f>IF($H4="","",COUNTIF(Defeitos!D2:D500,$H4))</f>
        <v/>
      </c>
      <c r="J4">
        <f>IF($H4="","",IFERROR(AVERAGEIF(Defeitos!D2:D500,$H4,Defeitos!M2:M500),""))</f>
        <v/>
      </c>
    </row>
    <row r="5">
      <c r="A5" s="4" t="inlineStr">
        <is>
          <t>Defeitos Fechados</t>
        </is>
      </c>
      <c r="B5">
        <f>COUNTIF(Defeitos!H2:H500,"Fechado")</f>
        <v/>
      </c>
      <c r="D5" t="inlineStr">
        <is>
          <t>Alta</t>
        </is>
      </c>
      <c r="E5">
        <f>COUNTIF(Defeitos!F2:F500,$D5)</f>
        <v/>
      </c>
      <c r="I5">
        <f>IF($H5="","",COUNTIF(Defeitos!D2:D500,$H5))</f>
        <v/>
      </c>
      <c r="J5">
        <f>IF($H5="","",IFERROR(AVERAGEIF(Defeitos!D2:D500,$H5,Defeitos!M2:M500),""))</f>
        <v/>
      </c>
    </row>
    <row r="6">
      <c r="A6" s="4" t="inlineStr">
        <is>
          <t>Tempo Médio de Correção (dias)</t>
        </is>
      </c>
      <c r="B6">
        <f>IFERROR(AVERAGE(Defeitos!M2:M500),"")</f>
        <v/>
      </c>
      <c r="D6" t="inlineStr">
        <is>
          <t>Média</t>
        </is>
      </c>
      <c r="E6">
        <f>COUNTIF(Defeitos!F2:F500,$D6)</f>
        <v/>
      </c>
      <c r="I6">
        <f>IF($H6="","",COUNTIF(Defeitos!D2:D500,$H6))</f>
        <v/>
      </c>
      <c r="J6">
        <f>IF($H6="","",IFERROR(AVERAGEIF(Defeitos!D2:D500,$H6,Defeitos!M2:M500),""))</f>
        <v/>
      </c>
    </row>
    <row r="7">
      <c r="A7" s="4" t="inlineStr">
        <is>
          <t>Defeitos Críticos</t>
        </is>
      </c>
      <c r="B7">
        <f>COUNTIF(Defeitos!F2:F500,"Crítica")</f>
        <v/>
      </c>
      <c r="D7" t="inlineStr">
        <is>
          <t>Baixa</t>
        </is>
      </c>
      <c r="E7">
        <f>COUNTIF(Defeitos!F2:F500,$D7)</f>
        <v/>
      </c>
      <c r="I7">
        <f>IF($H7="","",COUNTIF(Defeitos!D2:D500,$H7))</f>
        <v/>
      </c>
      <c r="J7">
        <f>IF($H7="","",IFERROR(AVERAGEIF(Defeitos!D2:D500,$H7,Defeitos!M2:M500),""))</f>
        <v/>
      </c>
    </row>
    <row r="8">
      <c r="I8">
        <f>IF($H8="","",COUNTIF(Defeitos!D2:D500,$H8))</f>
        <v/>
      </c>
      <c r="J8">
        <f>IF($H8="","",IFERROR(AVERAGEIF(Defeitos!D2:D500,$H8,Defeitos!M2:M500),""))</f>
        <v/>
      </c>
    </row>
    <row r="9">
      <c r="D9" s="3" t="inlineStr">
        <is>
          <t>Defeitos por Tipo</t>
        </is>
      </c>
      <c r="I9">
        <f>IF($H9="","",COUNTIF(Defeitos!D2:D500,$H9))</f>
        <v/>
      </c>
      <c r="J9">
        <f>IF($H9="","",IFERROR(AVERAGEIF(Defeitos!D2:D500,$H9,Defeitos!M2:M500),""))</f>
        <v/>
      </c>
    </row>
    <row r="10">
      <c r="D10" s="4" t="inlineStr">
        <is>
          <t>Categoria</t>
        </is>
      </c>
      <c r="E10" s="4" t="inlineStr">
        <is>
          <t>Quantidade</t>
        </is>
      </c>
      <c r="I10">
        <f>IF($H10="","",COUNTIF(Defeitos!D2:D500,$H10))</f>
        <v/>
      </c>
      <c r="J10">
        <f>IF($H10="","",IFERROR(AVERAGEIF(Defeitos!D2:D500,$H10,Defeitos!M2:M500),""))</f>
        <v/>
      </c>
    </row>
    <row r="11">
      <c r="D11" t="inlineStr">
        <is>
          <t>Funcional</t>
        </is>
      </c>
      <c r="E11">
        <f>COUNTIF(Defeitos!E2:E500,$D11)</f>
        <v/>
      </c>
      <c r="I11">
        <f>IF($H11="","",COUNTIF(Defeitos!D2:D500,$H11))</f>
        <v/>
      </c>
      <c r="J11">
        <f>IF($H11="","",IFERROR(AVERAGEIF(Defeitos!D2:D500,$H11,Defeitos!M2:M500),""))</f>
        <v/>
      </c>
    </row>
    <row r="12">
      <c r="D12" t="inlineStr">
        <is>
          <t>Interface</t>
        </is>
      </c>
      <c r="E12">
        <f>COUNTIF(Defeitos!E2:E500,$D12)</f>
        <v/>
      </c>
      <c r="I12">
        <f>IF($H12="","",COUNTIF(Defeitos!D2:D500,$H12))</f>
        <v/>
      </c>
      <c r="J12">
        <f>IF($H12="","",IFERROR(AVERAGEIF(Defeitos!D2:D500,$H12,Defeitos!M2:M500),""))</f>
        <v/>
      </c>
    </row>
    <row r="13">
      <c r="D13" t="inlineStr">
        <is>
          <t>Desempenho</t>
        </is>
      </c>
      <c r="E13">
        <f>COUNTIF(Defeitos!E2:E500,$D13)</f>
        <v/>
      </c>
      <c r="I13">
        <f>IF($H13="","",COUNTIF(Defeitos!D2:D500,$H13))</f>
        <v/>
      </c>
      <c r="J13">
        <f>IF($H13="","",IFERROR(AVERAGEIF(Defeitos!D2:D500,$H13,Defeitos!M2:M500),""))</f>
        <v/>
      </c>
    </row>
    <row r="14">
      <c r="D14" t="inlineStr">
        <is>
          <t>Segurança</t>
        </is>
      </c>
      <c r="E14">
        <f>COUNTIF(Defeitos!E2:E500,$D14)</f>
        <v/>
      </c>
      <c r="I14">
        <f>IF($H14="","",COUNTIF(Defeitos!D2:D500,$H14))</f>
        <v/>
      </c>
      <c r="J14">
        <f>IF($H14="","",IFERROR(AVERAGEIF(Defeitos!D2:D500,$H14,Defeitos!M2:M500),""))</f>
        <v/>
      </c>
    </row>
    <row r="15">
      <c r="D15" t="inlineStr">
        <is>
          <t>Usabilidade</t>
        </is>
      </c>
      <c r="E15">
        <f>COUNTIF(Defeitos!E2:E500,$D15)</f>
        <v/>
      </c>
      <c r="I15">
        <f>IF($H15="","",COUNTIF(Defeitos!D2:D500,$H15))</f>
        <v/>
      </c>
      <c r="J15">
        <f>IF($H15="","",IFERROR(AVERAGEIF(Defeitos!D2:D500,$H15,Defeitos!M2:M500),""))</f>
        <v/>
      </c>
    </row>
    <row r="16">
      <c r="D16" t="inlineStr">
        <is>
          <t>Compatibilidade</t>
        </is>
      </c>
      <c r="E16">
        <f>COUNTIF(Defeitos!E2:E500,$D16)</f>
        <v/>
      </c>
      <c r="I16">
        <f>IF($H16="","",COUNTIF(Defeitos!D2:D500,$H16))</f>
        <v/>
      </c>
      <c r="J16">
        <f>IF($H16="","",IFERROR(AVERAGEIF(Defeitos!D2:D500,$H16,Defeitos!M2:M500),""))</f>
        <v/>
      </c>
    </row>
    <row r="17">
      <c r="D17" t="inlineStr">
        <is>
          <t>Documentação</t>
        </is>
      </c>
      <c r="E17">
        <f>COUNTIF(Defeitos!E2:E500,$D17)</f>
        <v/>
      </c>
      <c r="I17">
        <f>IF($H17="","",COUNTIF(Defeitos!D2:D500,$H17))</f>
        <v/>
      </c>
      <c r="J17">
        <f>IF($H17="","",IFERROR(AVERAGEIF(Defeitos!D2:D500,$H17,Defeitos!M2:M500),""))</f>
        <v/>
      </c>
    </row>
    <row r="18">
      <c r="D18" t="inlineStr">
        <is>
          <t>Dados</t>
        </is>
      </c>
      <c r="E18">
        <f>COUNTIF(Defeitos!E2:E500,$D18)</f>
        <v/>
      </c>
      <c r="I18">
        <f>IF($H18="","",COUNTIF(Defeitos!D2:D500,$H18))</f>
        <v/>
      </c>
      <c r="J18">
        <f>IF($H18="","",IFERROR(AVERAGEIF(Defeitos!D2:D500,$H18,Defeitos!M2:M500),""))</f>
        <v/>
      </c>
    </row>
    <row r="19">
      <c r="D19" t="inlineStr">
        <is>
          <t>Infraestrutura</t>
        </is>
      </c>
      <c r="E19">
        <f>COUNTIF(Defeitos!E2:E500,$D19)</f>
        <v/>
      </c>
    </row>
    <row r="20">
      <c r="D20" t="inlineStr">
        <is>
          <t>Outro</t>
        </is>
      </c>
      <c r="E20">
        <f>COUNTIF(Defeitos!E2:E500,$D20)</f>
        <v/>
      </c>
    </row>
    <row r="22">
      <c r="D22" s="3" t="inlineStr">
        <is>
          <t>Defeitos por Fase de Introdução</t>
        </is>
      </c>
    </row>
    <row r="23">
      <c r="D23" s="4" t="inlineStr">
        <is>
          <t>Categoria</t>
        </is>
      </c>
      <c r="E23" s="4" t="inlineStr">
        <is>
          <t>Quantidade</t>
        </is>
      </c>
    </row>
    <row r="24">
      <c r="D24" t="inlineStr">
        <is>
          <t>Requisitos</t>
        </is>
      </c>
      <c r="E24">
        <f>COUNTIF(Defeitos!K2:K500,$D24)</f>
        <v/>
      </c>
    </row>
    <row r="25">
      <c r="D25" t="inlineStr">
        <is>
          <t>Design</t>
        </is>
      </c>
      <c r="E25">
        <f>COUNTIF(Defeitos!K2:K500,$D25)</f>
        <v/>
      </c>
    </row>
    <row r="26">
      <c r="D26" t="inlineStr">
        <is>
          <t>Codificação</t>
        </is>
      </c>
      <c r="E26">
        <f>COUNTIF(Defeitos!K2:K500,$D26)</f>
        <v/>
      </c>
    </row>
    <row r="27">
      <c r="D27" t="inlineStr">
        <is>
          <t>Integração</t>
        </is>
      </c>
      <c r="E27">
        <f>COUNTIF(Defeitos!K2:K500,$D27)</f>
        <v/>
      </c>
    </row>
    <row r="28">
      <c r="D28" t="inlineStr">
        <is>
          <t>Teste</t>
        </is>
      </c>
      <c r="E28">
        <f>COUNTIF(Defeitos!K2:K500,$D28)</f>
        <v/>
      </c>
    </row>
    <row r="29">
      <c r="D29" t="inlineStr">
        <is>
          <t>Implantação</t>
        </is>
      </c>
      <c r="E29">
        <f>COUNTIF(Defeitos!K2:K500,$D29)</f>
        <v/>
      </c>
    </row>
    <row r="30">
      <c r="D30" t="inlineStr">
        <is>
          <t>Produção</t>
        </is>
      </c>
      <c r="E30">
        <f>COUNTIF(Defeitos!K2:K500,$D30)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4" max="4"/>
    <col width="12" customWidth="1" min="5" max="5"/>
  </cols>
  <sheetData>
    <row r="1">
      <c r="A1" s="5" t="inlineStr">
        <is>
          <t>Painel de Defeitos</t>
        </is>
      </c>
    </row>
    <row r="3">
      <c r="A3" s="3" t="inlineStr">
        <is>
          <t>Indicadores (KPIs)</t>
        </is>
      </c>
      <c r="D3" s="3" t="inlineStr">
        <is>
          <t>Evolução Temporal (Identificados)</t>
        </is>
      </c>
    </row>
    <row r="4">
      <c r="A4" s="4" t="inlineStr">
        <is>
          <t>Total de Defeitos</t>
        </is>
      </c>
      <c r="B4">
        <f>Analises!B3</f>
        <v/>
      </c>
      <c r="D4" s="4" t="inlineStr">
        <is>
          <t>Mês</t>
        </is>
      </c>
      <c r="E4" s="4" t="inlineStr">
        <is>
          <t>Quantidade</t>
        </is>
      </c>
    </row>
    <row r="5">
      <c r="A5" s="4" t="inlineStr">
        <is>
          <t>Defeitos Abertos</t>
        </is>
      </c>
      <c r="B5">
        <f>Analises!B4</f>
        <v/>
      </c>
      <c r="D5" t="inlineStr">
        <is>
          <t>2026-01</t>
        </is>
      </c>
      <c r="E5">
        <f>COUNTIFS(Defeitos!$B$2:$B$500,"&gt;="&amp;DATE(2026,1,1),Defeitos!$B$2:$B$500,"&lt;="&amp;DATE(2026,1,DAY(EOMONTH(DATE(2026,1,1),0))))</f>
        <v/>
      </c>
    </row>
    <row r="6">
      <c r="A6" s="4" t="inlineStr">
        <is>
          <t>Defeitos Fechados</t>
        </is>
      </c>
      <c r="B6">
        <f>Analises!B5</f>
        <v/>
      </c>
      <c r="D6" t="inlineStr">
        <is>
          <t>2026-02</t>
        </is>
      </c>
      <c r="E6">
        <f>COUNTIFS(Defeitos!$B$2:$B$500,"&gt;="&amp;DATE(2026,2,1),Defeitos!$B$2:$B$500,"&lt;="&amp;DATE(2026,2,DAY(EOMONTH(DATE(2026,2,1),0))))</f>
        <v/>
      </c>
    </row>
    <row r="7">
      <c r="A7" s="4" t="inlineStr">
        <is>
          <t>Tempo Médio de Correção (dias)</t>
        </is>
      </c>
      <c r="B7">
        <f>Analises!B6</f>
        <v/>
      </c>
      <c r="D7" t="inlineStr">
        <is>
          <t>2026-03</t>
        </is>
      </c>
      <c r="E7">
        <f>COUNTIFS(Defeitos!$B$2:$B$500,"&gt;="&amp;DATE(2026,3,1),Defeitos!$B$2:$B$500,"&lt;="&amp;DATE(2026,3,DAY(EOMONTH(DATE(2026,3,1),0))))</f>
        <v/>
      </c>
    </row>
    <row r="8">
      <c r="D8" t="inlineStr">
        <is>
          <t>2026-04</t>
        </is>
      </c>
      <c r="E8">
        <f>COUNTIFS(Defeitos!$B$2:$B$500,"&gt;="&amp;DATE(2026,4,1),Defeitos!$B$2:$B$500,"&lt;="&amp;DATE(2026,4,DAY(EOMONTH(DATE(2026,4,1),0))))</f>
        <v/>
      </c>
    </row>
    <row r="9">
      <c r="D9" t="inlineStr">
        <is>
          <t>2026-05</t>
        </is>
      </c>
      <c r="E9">
        <f>COUNTIFS(Defeitos!$B$2:$B$500,"&gt;="&amp;DATE(2026,5,1),Defeitos!$B$2:$B$500,"&lt;="&amp;DATE(2026,5,DAY(EOMONTH(DATE(2026,5,1),0))))</f>
        <v/>
      </c>
    </row>
    <row r="10">
      <c r="D10" t="inlineStr">
        <is>
          <t>2026-06</t>
        </is>
      </c>
      <c r="E10">
        <f>COUNTIFS(Defeitos!$B$2:$B$500,"&gt;="&amp;DATE(2026,6,1),Defeitos!$B$2:$B$500,"&lt;="&amp;DATE(2026,6,DAY(EOMONTH(DATE(2026,6,1),0))))</f>
        <v/>
      </c>
    </row>
    <row r="11">
      <c r="D11" t="inlineStr">
        <is>
          <t>2026-07</t>
        </is>
      </c>
      <c r="E11">
        <f>COUNTIFS(Defeitos!$B$2:$B$500,"&gt;="&amp;DATE(2026,7,1),Defeitos!$B$2:$B$500,"&lt;="&amp;DATE(2026,7,DAY(EOMONTH(DATE(2026,7,1),0))))</f>
        <v/>
      </c>
    </row>
    <row r="12">
      <c r="D12" t="inlineStr">
        <is>
          <t>2026-08</t>
        </is>
      </c>
      <c r="E12">
        <f>COUNTIFS(Defeitos!$B$2:$B$500,"&gt;="&amp;DATE(2026,8,1),Defeitos!$B$2:$B$500,"&lt;="&amp;DATE(2026,8,DAY(EOMONTH(DATE(2026,8,1),0))))</f>
        <v/>
      </c>
    </row>
    <row r="13">
      <c r="D13" t="inlineStr">
        <is>
          <t>2026-09</t>
        </is>
      </c>
      <c r="E13">
        <f>COUNTIFS(Defeitos!$B$2:$B$500,"&gt;="&amp;DATE(2026,9,1),Defeitos!$B$2:$B$500,"&lt;="&amp;DATE(2026,9,DAY(EOMONTH(DATE(2026,9,1),0))))</f>
        <v/>
      </c>
    </row>
    <row r="14">
      <c r="D14" t="inlineStr">
        <is>
          <t>2026-10</t>
        </is>
      </c>
      <c r="E14">
        <f>COUNTIFS(Defeitos!$B$2:$B$500,"&gt;="&amp;DATE(2026,10,1),Defeitos!$B$2:$B$500,"&lt;="&amp;DATE(2026,10,DAY(EOMONTH(DATE(2026,10,1),0))))</f>
        <v/>
      </c>
    </row>
    <row r="15">
      <c r="D15" t="inlineStr">
        <is>
          <t>2026-11</t>
        </is>
      </c>
      <c r="E15">
        <f>COUNTIFS(Defeitos!$B$2:$B$500,"&gt;="&amp;DATE(2026,11,1),Defeitos!$B$2:$B$500,"&lt;="&amp;DATE(2026,11,DAY(EOMONTH(DATE(2026,11,1),0))))</f>
        <v/>
      </c>
    </row>
    <row r="16">
      <c r="D16" t="inlineStr">
        <is>
          <t>2026-12</t>
        </is>
      </c>
      <c r="E16">
        <f>COUNTIFS(Defeitos!$B$2:$B$500,"&gt;="&amp;DATE(2026,12,1),Defeitos!$B$2:$B$500,"&lt;="&amp;DATE(2026,12,DAY(EOMONTH(DATE(2026,12,1),0))))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6" t="inlineStr">
        <is>
          <t>Severidade</t>
        </is>
      </c>
      <c r="B1" s="6" t="inlineStr">
        <is>
          <t>Status</t>
        </is>
      </c>
      <c r="C1" s="6" t="inlineStr">
        <is>
          <t>Tipo de Defeito</t>
        </is>
      </c>
      <c r="D1" s="6" t="inlineStr">
        <is>
          <t>Prioridade</t>
        </is>
      </c>
      <c r="E1" s="6" t="inlineStr">
        <is>
          <t>Origem</t>
        </is>
      </c>
      <c r="F1" s="6" t="inlineStr">
        <is>
          <t>Fase</t>
        </is>
      </c>
    </row>
    <row r="2">
      <c r="A2" t="inlineStr">
        <is>
          <t>Crítica</t>
        </is>
      </c>
      <c r="B2" t="inlineStr">
        <is>
          <t>Aberto</t>
        </is>
      </c>
      <c r="C2" t="inlineStr">
        <is>
          <t>Funcional</t>
        </is>
      </c>
      <c r="D2" t="inlineStr">
        <is>
          <t>Alta</t>
        </is>
      </c>
      <c r="E2" t="inlineStr">
        <is>
          <t>Requisito</t>
        </is>
      </c>
      <c r="F2" t="inlineStr">
        <is>
          <t>Requisitos</t>
        </is>
      </c>
    </row>
    <row r="3">
      <c r="A3" t="inlineStr">
        <is>
          <t>Alta</t>
        </is>
      </c>
      <c r="B3" t="inlineStr">
        <is>
          <t>Em Análise</t>
        </is>
      </c>
      <c r="C3" t="inlineStr">
        <is>
          <t>Interface</t>
        </is>
      </c>
      <c r="D3" t="inlineStr">
        <is>
          <t>Média</t>
        </is>
      </c>
      <c r="E3" t="inlineStr">
        <is>
          <t>Design</t>
        </is>
      </c>
      <c r="F3" t="inlineStr">
        <is>
          <t>Design</t>
        </is>
      </c>
    </row>
    <row r="4">
      <c r="A4" t="inlineStr">
        <is>
          <t>Média</t>
        </is>
      </c>
      <c r="B4" t="inlineStr">
        <is>
          <t>Em Correção</t>
        </is>
      </c>
      <c r="C4" t="inlineStr">
        <is>
          <t>Desempenho</t>
        </is>
      </c>
      <c r="D4" t="inlineStr">
        <is>
          <t>Baixa</t>
        </is>
      </c>
      <c r="E4" t="inlineStr">
        <is>
          <t>Codificação</t>
        </is>
      </c>
      <c r="F4" t="inlineStr">
        <is>
          <t>Codificação</t>
        </is>
      </c>
    </row>
    <row r="5">
      <c r="A5" t="inlineStr">
        <is>
          <t>Baixa</t>
        </is>
      </c>
      <c r="B5" t="inlineStr">
        <is>
          <t>Em Reteste</t>
        </is>
      </c>
      <c r="C5" t="inlineStr">
        <is>
          <t>Segurança</t>
        </is>
      </c>
      <c r="E5" t="inlineStr">
        <is>
          <t>Integração</t>
        </is>
      </c>
      <c r="F5" t="inlineStr">
        <is>
          <t>Integração</t>
        </is>
      </c>
    </row>
    <row r="6">
      <c r="B6" t="inlineStr">
        <is>
          <t>Fechado</t>
        </is>
      </c>
      <c r="C6" t="inlineStr">
        <is>
          <t>Usabilidade</t>
        </is>
      </c>
      <c r="E6" t="inlineStr">
        <is>
          <t>Teste</t>
        </is>
      </c>
      <c r="F6" t="inlineStr">
        <is>
          <t>Teste</t>
        </is>
      </c>
    </row>
    <row r="7">
      <c r="B7" t="inlineStr">
        <is>
          <t>Cancelado</t>
        </is>
      </c>
      <c r="C7" t="inlineStr">
        <is>
          <t>Compatibilidade</t>
        </is>
      </c>
      <c r="E7" t="inlineStr">
        <is>
          <t>Implantação</t>
        </is>
      </c>
      <c r="F7" t="inlineStr">
        <is>
          <t>Implantação</t>
        </is>
      </c>
    </row>
    <row r="8">
      <c r="C8" t="inlineStr">
        <is>
          <t>Documentação</t>
        </is>
      </c>
      <c r="F8" t="inlineStr">
        <is>
          <t>Produção</t>
        </is>
      </c>
    </row>
    <row r="9">
      <c r="C9" t="inlineStr">
        <is>
          <t>Dados</t>
        </is>
      </c>
    </row>
    <row r="10">
      <c r="C10" t="inlineStr">
        <is>
          <t>Infraestrutura</t>
        </is>
      </c>
    </row>
    <row r="11">
      <c r="C11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2026-06-06T17:02:00Z</dcterms:created>
  <dcterms:modified xsi:type="dcterms:W3CDTF">2026-06-06T17:02:00Z</dcterms:modified>
</cp:coreProperties>
</file>