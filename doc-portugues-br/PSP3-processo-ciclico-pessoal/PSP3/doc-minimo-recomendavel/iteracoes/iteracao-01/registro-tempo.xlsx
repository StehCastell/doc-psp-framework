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ontamentos" sheetId="1" state="visible" r:id="rId1"/>
    <sheet name="Consolidado" sheetId="2" state="visible" r:id="rId2"/>
    <sheet name="Analises" sheetId="3" state="visible" r:id="rId3"/>
    <sheet name="Dashboards" sheetId="4" state="visible" r:id="rId4"/>
    <sheet name="Listas" sheetId="5" state="visible" r:id="rId5"/>
  </sheets>
  <definedNames>
    <definedName name="_xlnm._FilterDatabase" localSheetId="0" hidden="1">'Apontamentos'!$A$1:$K$1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Horas por Atividade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'Analises'!E3</f>
            </strRef>
          </tx>
          <spPr>
            <a:ln>
              <a:prstDash val="solid"/>
            </a:ln>
          </spPr>
          <cat>
            <strRef>
              <f>'Analises'!$D$4:$D$11</f>
            </strRef>
          </cat>
          <val>
            <numRef>
              <f>'Analises'!$E$4:$E$11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Horas por Responsável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'Consolidado'!E4</f>
            </strRef>
          </tx>
          <spPr>
            <a:ln>
              <a:prstDash val="solid"/>
            </a:ln>
          </spPr>
          <cat>
            <strRef>
              <f>'Consolidado'!$D$5:$D$16</f>
            </strRef>
          </cat>
          <val>
            <numRef>
              <f>'Consolidado'!$E$5:$E$16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Evolução Temporal das Horas</a:t>
            </a:r>
          </a:p>
        </rich>
      </tx>
    </title>
    <plotArea>
      <lineChart>
        <grouping val="standard"/>
        <ser>
          <idx val="0"/>
          <order val="0"/>
          <tx>
            <strRef>
              <f>'Analises'!I3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'Analises'!$H$4:$H$15</f>
            </strRef>
          </cat>
          <val>
            <numRef>
              <f>'Analises'!$I$4:$I$15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Horas por Atividade</a:t>
            </a:r>
          </a:p>
        </rich>
      </tx>
    </title>
    <plotArea>
      <pieChart>
        <varyColors val="1"/>
        <ser>
          <idx val="0"/>
          <order val="0"/>
          <tx>
            <strRef>
              <f>'Analises'!E3</f>
            </strRef>
          </tx>
          <spPr>
            <a:ln>
              <a:prstDash val="solid"/>
            </a:ln>
          </spPr>
          <cat>
            <strRef>
              <f>'Analises'!$D$4:$D$11</f>
            </strRef>
          </cat>
          <val>
            <numRef>
              <f>'Analises'!$E$4:$E$11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9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26</row>
      <rowOff>0</rowOff>
    </from>
    <ext cx="432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9" customWidth="1" min="9" max="9"/>
    <col width="13" customWidth="1" min="10" max="10"/>
    <col width="13" customWidth="1" min="11" max="11"/>
  </cols>
  <sheetData>
    <row r="1" ht="28" customHeight="1">
      <c r="A1" s="1" t="inlineStr">
        <is>
          <t>ID</t>
        </is>
      </c>
      <c r="B1" s="1" t="inlineStr">
        <is>
          <t>Projeto</t>
        </is>
      </c>
      <c r="C1" s="1" t="inlineStr">
        <is>
          <t>Atividade</t>
        </is>
      </c>
      <c r="D1" s="1" t="inlineStr">
        <is>
          <t>Responsável</t>
        </is>
      </c>
      <c r="E1" s="1" t="inlineStr">
        <is>
          <t>Data</t>
        </is>
      </c>
      <c r="F1" s="1" t="inlineStr">
        <is>
          <t>Hora Início</t>
        </is>
      </c>
      <c r="G1" s="1" t="inlineStr">
        <is>
          <t>Hora Fim</t>
        </is>
      </c>
      <c r="H1" s="1" t="inlineStr">
        <is>
          <t>Duração (h)</t>
        </is>
      </c>
      <c r="I1" s="1" t="inlineStr">
        <is>
          <t>Tipo de Atividade</t>
        </is>
      </c>
      <c r="J1" s="1" t="inlineStr">
        <is>
          <t>Status</t>
        </is>
      </c>
      <c r="K1" s="1" t="inlineStr">
        <is>
          <t>Observações</t>
        </is>
      </c>
    </row>
    <row r="2">
      <c r="H2">
        <f>IF(AND(F2&lt;&gt;"",G2&lt;&gt;""),(G2-F2)*24,"")</f>
        <v/>
      </c>
    </row>
    <row r="3">
      <c r="H3">
        <f>IF(AND(F3&lt;&gt;"",G3&lt;&gt;""),(G3-F3)*24,"")</f>
        <v/>
      </c>
    </row>
    <row r="4">
      <c r="H4">
        <f>IF(AND(F4&lt;&gt;"",G4&lt;&gt;""),(G4-F4)*24,"")</f>
        <v/>
      </c>
    </row>
    <row r="5">
      <c r="H5">
        <f>IF(AND(F5&lt;&gt;"",G5&lt;&gt;""),(G5-F5)*24,"")</f>
        <v/>
      </c>
    </row>
    <row r="6">
      <c r="H6">
        <f>IF(AND(F6&lt;&gt;"",G6&lt;&gt;""),(G6-F6)*24,"")</f>
        <v/>
      </c>
    </row>
    <row r="7">
      <c r="H7">
        <f>IF(AND(F7&lt;&gt;"",G7&lt;&gt;""),(G7-F7)*24,"")</f>
        <v/>
      </c>
    </row>
    <row r="8">
      <c r="H8">
        <f>IF(AND(F8&lt;&gt;"",G8&lt;&gt;""),(G8-F8)*24,"")</f>
        <v/>
      </c>
    </row>
    <row r="9">
      <c r="H9">
        <f>IF(AND(F9&lt;&gt;"",G9&lt;&gt;""),(G9-F9)*24,"")</f>
        <v/>
      </c>
    </row>
    <row r="10">
      <c r="H10">
        <f>IF(AND(F10&lt;&gt;"",G10&lt;&gt;""),(G10-F10)*24,"")</f>
        <v/>
      </c>
    </row>
    <row r="11">
      <c r="H11">
        <f>IF(AND(F11&lt;&gt;"",G11&lt;&gt;""),(G11-F11)*24,"")</f>
        <v/>
      </c>
    </row>
    <row r="12">
      <c r="H12">
        <f>IF(AND(F12&lt;&gt;"",G12&lt;&gt;""),(G12-F12)*24,"")</f>
        <v/>
      </c>
    </row>
    <row r="13">
      <c r="H13">
        <f>IF(AND(F13&lt;&gt;"",G13&lt;&gt;""),(G13-F13)*24,"")</f>
        <v/>
      </c>
    </row>
    <row r="14">
      <c r="H14">
        <f>IF(AND(F14&lt;&gt;"",G14&lt;&gt;""),(G14-F14)*24,"")</f>
        <v/>
      </c>
    </row>
    <row r="15">
      <c r="H15">
        <f>IF(AND(F15&lt;&gt;"",G15&lt;&gt;""),(G15-F15)*24,"")</f>
        <v/>
      </c>
    </row>
    <row r="16">
      <c r="H16">
        <f>IF(AND(F16&lt;&gt;"",G16&lt;&gt;""),(G16-F16)*24,"")</f>
        <v/>
      </c>
    </row>
    <row r="17">
      <c r="H17">
        <f>IF(AND(F17&lt;&gt;"",G17&lt;&gt;""),(G17-F17)*24,"")</f>
        <v/>
      </c>
    </row>
    <row r="18">
      <c r="H18">
        <f>IF(AND(F18&lt;&gt;"",G18&lt;&gt;""),(G18-F18)*24,"")</f>
        <v/>
      </c>
    </row>
    <row r="19">
      <c r="H19">
        <f>IF(AND(F19&lt;&gt;"",G19&lt;&gt;""),(G19-F19)*24,"")</f>
        <v/>
      </c>
    </row>
    <row r="20">
      <c r="H20">
        <f>IF(AND(F20&lt;&gt;"",G20&lt;&gt;""),(G20-F20)*24,"")</f>
        <v/>
      </c>
    </row>
    <row r="21">
      <c r="H21">
        <f>IF(AND(F21&lt;&gt;"",G21&lt;&gt;""),(G21-F21)*24,"")</f>
        <v/>
      </c>
    </row>
    <row r="22">
      <c r="H22">
        <f>IF(AND(F22&lt;&gt;"",G22&lt;&gt;""),(G22-F22)*24,"")</f>
        <v/>
      </c>
    </row>
    <row r="23">
      <c r="H23">
        <f>IF(AND(F23&lt;&gt;"",G23&lt;&gt;""),(G23-F23)*24,"")</f>
        <v/>
      </c>
    </row>
    <row r="24">
      <c r="H24">
        <f>IF(AND(F24&lt;&gt;"",G24&lt;&gt;""),(G24-F24)*24,"")</f>
        <v/>
      </c>
    </row>
    <row r="25">
      <c r="H25">
        <f>IF(AND(F25&lt;&gt;"",G25&lt;&gt;""),(G25-F25)*24,"")</f>
        <v/>
      </c>
    </row>
    <row r="26">
      <c r="H26">
        <f>IF(AND(F26&lt;&gt;"",G26&lt;&gt;""),(G26-F26)*24,"")</f>
        <v/>
      </c>
    </row>
    <row r="27">
      <c r="H27">
        <f>IF(AND(F27&lt;&gt;"",G27&lt;&gt;""),(G27-F27)*24,"")</f>
        <v/>
      </c>
    </row>
    <row r="28">
      <c r="H28">
        <f>IF(AND(F28&lt;&gt;"",G28&lt;&gt;""),(G28-F28)*24,"")</f>
        <v/>
      </c>
    </row>
    <row r="29">
      <c r="H29">
        <f>IF(AND(F29&lt;&gt;"",G29&lt;&gt;""),(G29-F29)*24,"")</f>
        <v/>
      </c>
    </row>
    <row r="30">
      <c r="H30">
        <f>IF(AND(F30&lt;&gt;"",G30&lt;&gt;""),(G30-F30)*24,"")</f>
        <v/>
      </c>
    </row>
    <row r="31">
      <c r="H31">
        <f>IF(AND(F31&lt;&gt;"",G31&lt;&gt;""),(G31-F31)*24,"")</f>
        <v/>
      </c>
    </row>
    <row r="32">
      <c r="H32">
        <f>IF(AND(F32&lt;&gt;"",G32&lt;&gt;""),(G32-F32)*24,"")</f>
        <v/>
      </c>
    </row>
    <row r="33">
      <c r="H33">
        <f>IF(AND(F33&lt;&gt;"",G33&lt;&gt;""),(G33-F33)*24,"")</f>
        <v/>
      </c>
    </row>
    <row r="34">
      <c r="H34">
        <f>IF(AND(F34&lt;&gt;"",G34&lt;&gt;""),(G34-F34)*24,"")</f>
        <v/>
      </c>
    </row>
    <row r="35">
      <c r="H35">
        <f>IF(AND(F35&lt;&gt;"",G35&lt;&gt;""),(G35-F35)*24,"")</f>
        <v/>
      </c>
    </row>
    <row r="36">
      <c r="H36">
        <f>IF(AND(F36&lt;&gt;"",G36&lt;&gt;""),(G36-F36)*24,"")</f>
        <v/>
      </c>
    </row>
    <row r="37">
      <c r="H37">
        <f>IF(AND(F37&lt;&gt;"",G37&lt;&gt;""),(G37-F37)*24,"")</f>
        <v/>
      </c>
    </row>
    <row r="38">
      <c r="H38">
        <f>IF(AND(F38&lt;&gt;"",G38&lt;&gt;""),(G38-F38)*24,"")</f>
        <v/>
      </c>
    </row>
    <row r="39">
      <c r="H39">
        <f>IF(AND(F39&lt;&gt;"",G39&lt;&gt;""),(G39-F39)*24,"")</f>
        <v/>
      </c>
    </row>
    <row r="40">
      <c r="H40">
        <f>IF(AND(F40&lt;&gt;"",G40&lt;&gt;""),(G40-F40)*24,"")</f>
        <v/>
      </c>
    </row>
    <row r="41">
      <c r="H41">
        <f>IF(AND(F41&lt;&gt;"",G41&lt;&gt;""),(G41-F41)*24,"")</f>
        <v/>
      </c>
    </row>
    <row r="42">
      <c r="H42">
        <f>IF(AND(F42&lt;&gt;"",G42&lt;&gt;""),(G42-F42)*24,"")</f>
        <v/>
      </c>
    </row>
    <row r="43">
      <c r="H43">
        <f>IF(AND(F43&lt;&gt;"",G43&lt;&gt;""),(G43-F43)*24,"")</f>
        <v/>
      </c>
    </row>
    <row r="44">
      <c r="H44">
        <f>IF(AND(F44&lt;&gt;"",G44&lt;&gt;""),(G44-F44)*24,"")</f>
        <v/>
      </c>
    </row>
    <row r="45">
      <c r="H45">
        <f>IF(AND(F45&lt;&gt;"",G45&lt;&gt;""),(G45-F45)*24,"")</f>
        <v/>
      </c>
    </row>
    <row r="46">
      <c r="H46">
        <f>IF(AND(F46&lt;&gt;"",G46&lt;&gt;""),(G46-F46)*24,"")</f>
        <v/>
      </c>
    </row>
    <row r="47">
      <c r="H47">
        <f>IF(AND(F47&lt;&gt;"",G47&lt;&gt;""),(G47-F47)*24,"")</f>
        <v/>
      </c>
    </row>
    <row r="48">
      <c r="H48">
        <f>IF(AND(F48&lt;&gt;"",G48&lt;&gt;""),(G48-F48)*24,"")</f>
        <v/>
      </c>
    </row>
    <row r="49">
      <c r="H49">
        <f>IF(AND(F49&lt;&gt;"",G49&lt;&gt;""),(G49-F49)*24,"")</f>
        <v/>
      </c>
    </row>
    <row r="50">
      <c r="H50">
        <f>IF(AND(F50&lt;&gt;"",G50&lt;&gt;""),(G50-F50)*24,"")</f>
        <v/>
      </c>
    </row>
    <row r="51">
      <c r="H51">
        <f>IF(AND(F51&lt;&gt;"",G51&lt;&gt;""),(G51-F51)*24,"")</f>
        <v/>
      </c>
    </row>
    <row r="52">
      <c r="H52">
        <f>IF(AND(F52&lt;&gt;"",G52&lt;&gt;""),(G52-F52)*24,"")</f>
        <v/>
      </c>
    </row>
    <row r="53">
      <c r="H53">
        <f>IF(AND(F53&lt;&gt;"",G53&lt;&gt;""),(G53-F53)*24,"")</f>
        <v/>
      </c>
    </row>
    <row r="54">
      <c r="H54">
        <f>IF(AND(F54&lt;&gt;"",G54&lt;&gt;""),(G54-F54)*24,"")</f>
        <v/>
      </c>
    </row>
    <row r="55">
      <c r="H55">
        <f>IF(AND(F55&lt;&gt;"",G55&lt;&gt;""),(G55-F55)*24,"")</f>
        <v/>
      </c>
    </row>
    <row r="56">
      <c r="H56">
        <f>IF(AND(F56&lt;&gt;"",G56&lt;&gt;""),(G56-F56)*24,"")</f>
        <v/>
      </c>
    </row>
    <row r="57">
      <c r="H57">
        <f>IF(AND(F57&lt;&gt;"",G57&lt;&gt;""),(G57-F57)*24,"")</f>
        <v/>
      </c>
    </row>
    <row r="58">
      <c r="H58">
        <f>IF(AND(F58&lt;&gt;"",G58&lt;&gt;""),(G58-F58)*24,"")</f>
        <v/>
      </c>
    </row>
    <row r="59">
      <c r="H59">
        <f>IF(AND(F59&lt;&gt;"",G59&lt;&gt;""),(G59-F59)*24,"")</f>
        <v/>
      </c>
    </row>
    <row r="60">
      <c r="H60">
        <f>IF(AND(F60&lt;&gt;"",G60&lt;&gt;""),(G60-F60)*24,"")</f>
        <v/>
      </c>
    </row>
    <row r="61">
      <c r="H61">
        <f>IF(AND(F61&lt;&gt;"",G61&lt;&gt;""),(G61-F61)*24,"")</f>
        <v/>
      </c>
    </row>
    <row r="62">
      <c r="H62">
        <f>IF(AND(F62&lt;&gt;"",G62&lt;&gt;""),(G62-F62)*24,"")</f>
        <v/>
      </c>
    </row>
    <row r="63">
      <c r="H63">
        <f>IF(AND(F63&lt;&gt;"",G63&lt;&gt;""),(G63-F63)*24,"")</f>
        <v/>
      </c>
    </row>
    <row r="64">
      <c r="H64">
        <f>IF(AND(F64&lt;&gt;"",G64&lt;&gt;""),(G64-F64)*24,"")</f>
        <v/>
      </c>
    </row>
    <row r="65">
      <c r="H65">
        <f>IF(AND(F65&lt;&gt;"",G65&lt;&gt;""),(G65-F65)*24,"")</f>
        <v/>
      </c>
    </row>
    <row r="66">
      <c r="H66">
        <f>IF(AND(F66&lt;&gt;"",G66&lt;&gt;""),(G66-F66)*24,"")</f>
        <v/>
      </c>
    </row>
    <row r="67">
      <c r="H67">
        <f>IF(AND(F67&lt;&gt;"",G67&lt;&gt;""),(G67-F67)*24,"")</f>
        <v/>
      </c>
    </row>
    <row r="68">
      <c r="H68">
        <f>IF(AND(F68&lt;&gt;"",G68&lt;&gt;""),(G68-F68)*24,"")</f>
        <v/>
      </c>
    </row>
    <row r="69">
      <c r="H69">
        <f>IF(AND(F69&lt;&gt;"",G69&lt;&gt;""),(G69-F69)*24,"")</f>
        <v/>
      </c>
    </row>
    <row r="70">
      <c r="H70">
        <f>IF(AND(F70&lt;&gt;"",G70&lt;&gt;""),(G70-F70)*24,"")</f>
        <v/>
      </c>
    </row>
    <row r="71">
      <c r="H71">
        <f>IF(AND(F71&lt;&gt;"",G71&lt;&gt;""),(G71-F71)*24,"")</f>
        <v/>
      </c>
    </row>
    <row r="72">
      <c r="H72">
        <f>IF(AND(F72&lt;&gt;"",G72&lt;&gt;""),(G72-F72)*24,"")</f>
        <v/>
      </c>
    </row>
    <row r="73">
      <c r="H73">
        <f>IF(AND(F73&lt;&gt;"",G73&lt;&gt;""),(G73-F73)*24,"")</f>
        <v/>
      </c>
    </row>
    <row r="74">
      <c r="H74">
        <f>IF(AND(F74&lt;&gt;"",G74&lt;&gt;""),(G74-F74)*24,"")</f>
        <v/>
      </c>
    </row>
    <row r="75">
      <c r="H75">
        <f>IF(AND(F75&lt;&gt;"",G75&lt;&gt;""),(G75-F75)*24,"")</f>
        <v/>
      </c>
    </row>
    <row r="76">
      <c r="H76">
        <f>IF(AND(F76&lt;&gt;"",G76&lt;&gt;""),(G76-F76)*24,"")</f>
        <v/>
      </c>
    </row>
    <row r="77">
      <c r="H77">
        <f>IF(AND(F77&lt;&gt;"",G77&lt;&gt;""),(G77-F77)*24,"")</f>
        <v/>
      </c>
    </row>
    <row r="78">
      <c r="H78">
        <f>IF(AND(F78&lt;&gt;"",G78&lt;&gt;""),(G78-F78)*24,"")</f>
        <v/>
      </c>
    </row>
    <row r="79">
      <c r="H79">
        <f>IF(AND(F79&lt;&gt;"",G79&lt;&gt;""),(G79-F79)*24,"")</f>
        <v/>
      </c>
    </row>
    <row r="80">
      <c r="H80">
        <f>IF(AND(F80&lt;&gt;"",G80&lt;&gt;""),(G80-F80)*24,"")</f>
        <v/>
      </c>
    </row>
    <row r="81">
      <c r="H81">
        <f>IF(AND(F81&lt;&gt;"",G81&lt;&gt;""),(G81-F81)*24,"")</f>
        <v/>
      </c>
    </row>
    <row r="82">
      <c r="H82">
        <f>IF(AND(F82&lt;&gt;"",G82&lt;&gt;""),(G82-F82)*24,"")</f>
        <v/>
      </c>
    </row>
    <row r="83">
      <c r="H83">
        <f>IF(AND(F83&lt;&gt;"",G83&lt;&gt;""),(G83-F83)*24,"")</f>
        <v/>
      </c>
    </row>
    <row r="84">
      <c r="H84">
        <f>IF(AND(F84&lt;&gt;"",G84&lt;&gt;""),(G84-F84)*24,"")</f>
        <v/>
      </c>
    </row>
    <row r="85">
      <c r="H85">
        <f>IF(AND(F85&lt;&gt;"",G85&lt;&gt;""),(G85-F85)*24,"")</f>
        <v/>
      </c>
    </row>
    <row r="86">
      <c r="H86">
        <f>IF(AND(F86&lt;&gt;"",G86&lt;&gt;""),(G86-F86)*24,"")</f>
        <v/>
      </c>
    </row>
    <row r="87">
      <c r="H87">
        <f>IF(AND(F87&lt;&gt;"",G87&lt;&gt;""),(G87-F87)*24,"")</f>
        <v/>
      </c>
    </row>
    <row r="88">
      <c r="H88">
        <f>IF(AND(F88&lt;&gt;"",G88&lt;&gt;""),(G88-F88)*24,"")</f>
        <v/>
      </c>
    </row>
    <row r="89">
      <c r="H89">
        <f>IF(AND(F89&lt;&gt;"",G89&lt;&gt;""),(G89-F89)*24,"")</f>
        <v/>
      </c>
    </row>
    <row r="90">
      <c r="H90">
        <f>IF(AND(F90&lt;&gt;"",G90&lt;&gt;""),(G90-F90)*24,"")</f>
        <v/>
      </c>
    </row>
    <row r="91">
      <c r="H91">
        <f>IF(AND(F91&lt;&gt;"",G91&lt;&gt;""),(G91-F91)*24,"")</f>
        <v/>
      </c>
    </row>
    <row r="92">
      <c r="H92">
        <f>IF(AND(F92&lt;&gt;"",G92&lt;&gt;""),(G92-F92)*24,"")</f>
        <v/>
      </c>
    </row>
    <row r="93">
      <c r="H93">
        <f>IF(AND(F93&lt;&gt;"",G93&lt;&gt;""),(G93-F93)*24,"")</f>
        <v/>
      </c>
    </row>
    <row r="94">
      <c r="H94">
        <f>IF(AND(F94&lt;&gt;"",G94&lt;&gt;""),(G94-F94)*24,"")</f>
        <v/>
      </c>
    </row>
    <row r="95">
      <c r="H95">
        <f>IF(AND(F95&lt;&gt;"",G95&lt;&gt;""),(G95-F95)*24,"")</f>
        <v/>
      </c>
    </row>
    <row r="96">
      <c r="H96">
        <f>IF(AND(F96&lt;&gt;"",G96&lt;&gt;""),(G96-F96)*24,"")</f>
        <v/>
      </c>
    </row>
    <row r="97">
      <c r="H97">
        <f>IF(AND(F97&lt;&gt;"",G97&lt;&gt;""),(G97-F97)*24,"")</f>
        <v/>
      </c>
    </row>
    <row r="98">
      <c r="H98">
        <f>IF(AND(F98&lt;&gt;"",G98&lt;&gt;""),(G98-F98)*24,"")</f>
        <v/>
      </c>
    </row>
    <row r="99">
      <c r="H99">
        <f>IF(AND(F99&lt;&gt;"",G99&lt;&gt;""),(G99-F99)*24,"")</f>
        <v/>
      </c>
    </row>
    <row r="100">
      <c r="H100">
        <f>IF(AND(F100&lt;&gt;"",G100&lt;&gt;""),(G100-F100)*24,"")</f>
        <v/>
      </c>
    </row>
    <row r="101">
      <c r="H101">
        <f>IF(AND(F101&lt;&gt;"",G101&lt;&gt;""),(G101-F101)*24,"")</f>
        <v/>
      </c>
    </row>
    <row r="102">
      <c r="H102">
        <f>IF(AND(F102&lt;&gt;"",G102&lt;&gt;""),(G102-F102)*24,"")</f>
        <v/>
      </c>
    </row>
    <row r="103">
      <c r="H103">
        <f>IF(AND(F103&lt;&gt;"",G103&lt;&gt;""),(G103-F103)*24,"")</f>
        <v/>
      </c>
    </row>
    <row r="104">
      <c r="H104">
        <f>IF(AND(F104&lt;&gt;"",G104&lt;&gt;""),(G104-F104)*24,"")</f>
        <v/>
      </c>
    </row>
    <row r="105">
      <c r="H105">
        <f>IF(AND(F105&lt;&gt;"",G105&lt;&gt;""),(G105-F105)*24,"")</f>
        <v/>
      </c>
    </row>
    <row r="106">
      <c r="H106">
        <f>IF(AND(F106&lt;&gt;"",G106&lt;&gt;""),(G106-F106)*24,"")</f>
        <v/>
      </c>
    </row>
    <row r="107">
      <c r="H107">
        <f>IF(AND(F107&lt;&gt;"",G107&lt;&gt;""),(G107-F107)*24,"")</f>
        <v/>
      </c>
    </row>
    <row r="108">
      <c r="H108">
        <f>IF(AND(F108&lt;&gt;"",G108&lt;&gt;""),(G108-F108)*24,"")</f>
        <v/>
      </c>
    </row>
    <row r="109">
      <c r="H109">
        <f>IF(AND(F109&lt;&gt;"",G109&lt;&gt;""),(G109-F109)*24,"")</f>
        <v/>
      </c>
    </row>
    <row r="110">
      <c r="H110">
        <f>IF(AND(F110&lt;&gt;"",G110&lt;&gt;""),(G110-F110)*24,"")</f>
        <v/>
      </c>
    </row>
    <row r="111">
      <c r="H111">
        <f>IF(AND(F111&lt;&gt;"",G111&lt;&gt;""),(G111-F111)*24,"")</f>
        <v/>
      </c>
    </row>
    <row r="112">
      <c r="H112">
        <f>IF(AND(F112&lt;&gt;"",G112&lt;&gt;""),(G112-F112)*24,"")</f>
        <v/>
      </c>
    </row>
    <row r="113">
      <c r="H113">
        <f>IF(AND(F113&lt;&gt;"",G113&lt;&gt;""),(G113-F113)*24,"")</f>
        <v/>
      </c>
    </row>
    <row r="114">
      <c r="H114">
        <f>IF(AND(F114&lt;&gt;"",G114&lt;&gt;""),(G114-F114)*24,"")</f>
        <v/>
      </c>
    </row>
    <row r="115">
      <c r="H115">
        <f>IF(AND(F115&lt;&gt;"",G115&lt;&gt;""),(G115-F115)*24,"")</f>
        <v/>
      </c>
    </row>
    <row r="116">
      <c r="H116">
        <f>IF(AND(F116&lt;&gt;"",G116&lt;&gt;""),(G116-F116)*24,"")</f>
        <v/>
      </c>
    </row>
    <row r="117">
      <c r="H117">
        <f>IF(AND(F117&lt;&gt;"",G117&lt;&gt;""),(G117-F117)*24,"")</f>
        <v/>
      </c>
    </row>
    <row r="118">
      <c r="H118">
        <f>IF(AND(F118&lt;&gt;"",G118&lt;&gt;""),(G118-F118)*24,"")</f>
        <v/>
      </c>
    </row>
    <row r="119">
      <c r="H119">
        <f>IF(AND(F119&lt;&gt;"",G119&lt;&gt;""),(G119-F119)*24,"")</f>
        <v/>
      </c>
    </row>
    <row r="120">
      <c r="H120">
        <f>IF(AND(F120&lt;&gt;"",G120&lt;&gt;""),(G120-F120)*24,"")</f>
        <v/>
      </c>
    </row>
    <row r="121">
      <c r="H121">
        <f>IF(AND(F121&lt;&gt;"",G121&lt;&gt;""),(G121-F121)*24,"")</f>
        <v/>
      </c>
    </row>
    <row r="122">
      <c r="H122">
        <f>IF(AND(F122&lt;&gt;"",G122&lt;&gt;""),(G122-F122)*24,"")</f>
        <v/>
      </c>
    </row>
    <row r="123">
      <c r="H123">
        <f>IF(AND(F123&lt;&gt;"",G123&lt;&gt;""),(G123-F123)*24,"")</f>
        <v/>
      </c>
    </row>
    <row r="124">
      <c r="H124">
        <f>IF(AND(F124&lt;&gt;"",G124&lt;&gt;""),(G124-F124)*24,"")</f>
        <v/>
      </c>
    </row>
    <row r="125">
      <c r="H125">
        <f>IF(AND(F125&lt;&gt;"",G125&lt;&gt;""),(G125-F125)*24,"")</f>
        <v/>
      </c>
    </row>
    <row r="126">
      <c r="H126">
        <f>IF(AND(F126&lt;&gt;"",G126&lt;&gt;""),(G126-F126)*24,"")</f>
        <v/>
      </c>
    </row>
    <row r="127">
      <c r="H127">
        <f>IF(AND(F127&lt;&gt;"",G127&lt;&gt;""),(G127-F127)*24,"")</f>
        <v/>
      </c>
    </row>
    <row r="128">
      <c r="H128">
        <f>IF(AND(F128&lt;&gt;"",G128&lt;&gt;""),(G128-F128)*24,"")</f>
        <v/>
      </c>
    </row>
    <row r="129">
      <c r="H129">
        <f>IF(AND(F129&lt;&gt;"",G129&lt;&gt;""),(G129-F129)*24,"")</f>
        <v/>
      </c>
    </row>
    <row r="130">
      <c r="H130">
        <f>IF(AND(F130&lt;&gt;"",G130&lt;&gt;""),(G130-F130)*24,"")</f>
        <v/>
      </c>
    </row>
    <row r="131">
      <c r="H131">
        <f>IF(AND(F131&lt;&gt;"",G131&lt;&gt;""),(G131-F131)*24,"")</f>
        <v/>
      </c>
    </row>
    <row r="132">
      <c r="H132">
        <f>IF(AND(F132&lt;&gt;"",G132&lt;&gt;""),(G132-F132)*24,"")</f>
        <v/>
      </c>
    </row>
    <row r="133">
      <c r="H133">
        <f>IF(AND(F133&lt;&gt;"",G133&lt;&gt;""),(G133-F133)*24,"")</f>
        <v/>
      </c>
    </row>
    <row r="134">
      <c r="H134">
        <f>IF(AND(F134&lt;&gt;"",G134&lt;&gt;""),(G134-F134)*24,"")</f>
        <v/>
      </c>
    </row>
    <row r="135">
      <c r="H135">
        <f>IF(AND(F135&lt;&gt;"",G135&lt;&gt;""),(G135-F135)*24,"")</f>
        <v/>
      </c>
    </row>
    <row r="136">
      <c r="H136">
        <f>IF(AND(F136&lt;&gt;"",G136&lt;&gt;""),(G136-F136)*24,"")</f>
        <v/>
      </c>
    </row>
    <row r="137">
      <c r="H137">
        <f>IF(AND(F137&lt;&gt;"",G137&lt;&gt;""),(G137-F137)*24,"")</f>
        <v/>
      </c>
    </row>
    <row r="138">
      <c r="H138">
        <f>IF(AND(F138&lt;&gt;"",G138&lt;&gt;""),(G138-F138)*24,"")</f>
        <v/>
      </c>
    </row>
    <row r="139">
      <c r="H139">
        <f>IF(AND(F139&lt;&gt;"",G139&lt;&gt;""),(G139-F139)*24,"")</f>
        <v/>
      </c>
    </row>
    <row r="140">
      <c r="H140">
        <f>IF(AND(F140&lt;&gt;"",G140&lt;&gt;""),(G140-F140)*24,"")</f>
        <v/>
      </c>
    </row>
    <row r="141">
      <c r="H141">
        <f>IF(AND(F141&lt;&gt;"",G141&lt;&gt;""),(G141-F141)*24,"")</f>
        <v/>
      </c>
    </row>
    <row r="142">
      <c r="H142">
        <f>IF(AND(F142&lt;&gt;"",G142&lt;&gt;""),(G142-F142)*24,"")</f>
        <v/>
      </c>
    </row>
    <row r="143">
      <c r="H143">
        <f>IF(AND(F143&lt;&gt;"",G143&lt;&gt;""),(G143-F143)*24,"")</f>
        <v/>
      </c>
    </row>
    <row r="144">
      <c r="H144">
        <f>IF(AND(F144&lt;&gt;"",G144&lt;&gt;""),(G144-F144)*24,"")</f>
        <v/>
      </c>
    </row>
    <row r="145">
      <c r="H145">
        <f>IF(AND(F145&lt;&gt;"",G145&lt;&gt;""),(G145-F145)*24,"")</f>
        <v/>
      </c>
    </row>
    <row r="146">
      <c r="H146">
        <f>IF(AND(F146&lt;&gt;"",G146&lt;&gt;""),(G146-F146)*24,"")</f>
        <v/>
      </c>
    </row>
    <row r="147">
      <c r="H147">
        <f>IF(AND(F147&lt;&gt;"",G147&lt;&gt;""),(G147-F147)*24,"")</f>
        <v/>
      </c>
    </row>
    <row r="148">
      <c r="H148">
        <f>IF(AND(F148&lt;&gt;"",G148&lt;&gt;""),(G148-F148)*24,"")</f>
        <v/>
      </c>
    </row>
    <row r="149">
      <c r="H149">
        <f>IF(AND(F149&lt;&gt;"",G149&lt;&gt;""),(G149-F149)*24,"")</f>
        <v/>
      </c>
    </row>
    <row r="150">
      <c r="H150">
        <f>IF(AND(F150&lt;&gt;"",G150&lt;&gt;""),(G150-F150)*24,"")</f>
        <v/>
      </c>
    </row>
    <row r="151">
      <c r="H151">
        <f>IF(AND(F151&lt;&gt;"",G151&lt;&gt;""),(G151-F151)*24,"")</f>
        <v/>
      </c>
    </row>
    <row r="152">
      <c r="H152">
        <f>IF(AND(F152&lt;&gt;"",G152&lt;&gt;""),(G152-F152)*24,"")</f>
        <v/>
      </c>
    </row>
    <row r="153">
      <c r="H153">
        <f>IF(AND(F153&lt;&gt;"",G153&lt;&gt;""),(G153-F153)*24,"")</f>
        <v/>
      </c>
    </row>
    <row r="154">
      <c r="H154">
        <f>IF(AND(F154&lt;&gt;"",G154&lt;&gt;""),(G154-F154)*24,"")</f>
        <v/>
      </c>
    </row>
    <row r="155">
      <c r="H155">
        <f>IF(AND(F155&lt;&gt;"",G155&lt;&gt;""),(G155-F155)*24,"")</f>
        <v/>
      </c>
    </row>
    <row r="156">
      <c r="H156">
        <f>IF(AND(F156&lt;&gt;"",G156&lt;&gt;""),(G156-F156)*24,"")</f>
        <v/>
      </c>
    </row>
    <row r="157">
      <c r="H157">
        <f>IF(AND(F157&lt;&gt;"",G157&lt;&gt;""),(G157-F157)*24,"")</f>
        <v/>
      </c>
    </row>
    <row r="158">
      <c r="H158">
        <f>IF(AND(F158&lt;&gt;"",G158&lt;&gt;""),(G158-F158)*24,"")</f>
        <v/>
      </c>
    </row>
    <row r="159">
      <c r="H159">
        <f>IF(AND(F159&lt;&gt;"",G159&lt;&gt;""),(G159-F159)*24,"")</f>
        <v/>
      </c>
    </row>
    <row r="160">
      <c r="H160">
        <f>IF(AND(F160&lt;&gt;"",G160&lt;&gt;""),(G160-F160)*24,"")</f>
        <v/>
      </c>
    </row>
    <row r="161">
      <c r="H161">
        <f>IF(AND(F161&lt;&gt;"",G161&lt;&gt;""),(G161-F161)*24,"")</f>
        <v/>
      </c>
    </row>
    <row r="162">
      <c r="H162">
        <f>IF(AND(F162&lt;&gt;"",G162&lt;&gt;""),(G162-F162)*24,"")</f>
        <v/>
      </c>
    </row>
    <row r="163">
      <c r="H163">
        <f>IF(AND(F163&lt;&gt;"",G163&lt;&gt;""),(G163-F163)*24,"")</f>
        <v/>
      </c>
    </row>
    <row r="164">
      <c r="H164">
        <f>IF(AND(F164&lt;&gt;"",G164&lt;&gt;""),(G164-F164)*24,"")</f>
        <v/>
      </c>
    </row>
    <row r="165">
      <c r="H165">
        <f>IF(AND(F165&lt;&gt;"",G165&lt;&gt;""),(G165-F165)*24,"")</f>
        <v/>
      </c>
    </row>
    <row r="166">
      <c r="H166">
        <f>IF(AND(F166&lt;&gt;"",G166&lt;&gt;""),(G166-F166)*24,"")</f>
        <v/>
      </c>
    </row>
    <row r="167">
      <c r="H167">
        <f>IF(AND(F167&lt;&gt;"",G167&lt;&gt;""),(G167-F167)*24,"")</f>
        <v/>
      </c>
    </row>
    <row r="168">
      <c r="H168">
        <f>IF(AND(F168&lt;&gt;"",G168&lt;&gt;""),(G168-F168)*24,"")</f>
        <v/>
      </c>
    </row>
    <row r="169">
      <c r="H169">
        <f>IF(AND(F169&lt;&gt;"",G169&lt;&gt;""),(G169-F169)*24,"")</f>
        <v/>
      </c>
    </row>
    <row r="170">
      <c r="H170">
        <f>IF(AND(F170&lt;&gt;"",G170&lt;&gt;""),(G170-F170)*24,"")</f>
        <v/>
      </c>
    </row>
    <row r="171">
      <c r="H171">
        <f>IF(AND(F171&lt;&gt;"",G171&lt;&gt;""),(G171-F171)*24,"")</f>
        <v/>
      </c>
    </row>
    <row r="172">
      <c r="H172">
        <f>IF(AND(F172&lt;&gt;"",G172&lt;&gt;""),(G172-F172)*24,"")</f>
        <v/>
      </c>
    </row>
    <row r="173">
      <c r="H173">
        <f>IF(AND(F173&lt;&gt;"",G173&lt;&gt;""),(G173-F173)*24,"")</f>
        <v/>
      </c>
    </row>
    <row r="174">
      <c r="H174">
        <f>IF(AND(F174&lt;&gt;"",G174&lt;&gt;""),(G174-F174)*24,"")</f>
        <v/>
      </c>
    </row>
    <row r="175">
      <c r="H175">
        <f>IF(AND(F175&lt;&gt;"",G175&lt;&gt;""),(G175-F175)*24,"")</f>
        <v/>
      </c>
    </row>
    <row r="176">
      <c r="H176">
        <f>IF(AND(F176&lt;&gt;"",G176&lt;&gt;""),(G176-F176)*24,"")</f>
        <v/>
      </c>
    </row>
    <row r="177">
      <c r="H177">
        <f>IF(AND(F177&lt;&gt;"",G177&lt;&gt;""),(G177-F177)*24,"")</f>
        <v/>
      </c>
    </row>
    <row r="178">
      <c r="H178">
        <f>IF(AND(F178&lt;&gt;"",G178&lt;&gt;""),(G178-F178)*24,"")</f>
        <v/>
      </c>
    </row>
    <row r="179">
      <c r="H179">
        <f>IF(AND(F179&lt;&gt;"",G179&lt;&gt;""),(G179-F179)*24,"")</f>
        <v/>
      </c>
    </row>
    <row r="180">
      <c r="H180">
        <f>IF(AND(F180&lt;&gt;"",G180&lt;&gt;""),(G180-F180)*24,"")</f>
        <v/>
      </c>
    </row>
    <row r="181">
      <c r="H181">
        <f>IF(AND(F181&lt;&gt;"",G181&lt;&gt;""),(G181-F181)*24,"")</f>
        <v/>
      </c>
    </row>
    <row r="182">
      <c r="H182">
        <f>IF(AND(F182&lt;&gt;"",G182&lt;&gt;""),(G182-F182)*24,"")</f>
        <v/>
      </c>
    </row>
    <row r="183">
      <c r="H183">
        <f>IF(AND(F183&lt;&gt;"",G183&lt;&gt;""),(G183-F183)*24,"")</f>
        <v/>
      </c>
    </row>
    <row r="184">
      <c r="H184">
        <f>IF(AND(F184&lt;&gt;"",G184&lt;&gt;""),(G184-F184)*24,"")</f>
        <v/>
      </c>
    </row>
    <row r="185">
      <c r="H185">
        <f>IF(AND(F185&lt;&gt;"",G185&lt;&gt;""),(G185-F185)*24,"")</f>
        <v/>
      </c>
    </row>
    <row r="186">
      <c r="H186">
        <f>IF(AND(F186&lt;&gt;"",G186&lt;&gt;""),(G186-F186)*24,"")</f>
        <v/>
      </c>
    </row>
    <row r="187">
      <c r="H187">
        <f>IF(AND(F187&lt;&gt;"",G187&lt;&gt;""),(G187-F187)*24,"")</f>
        <v/>
      </c>
    </row>
    <row r="188">
      <c r="H188">
        <f>IF(AND(F188&lt;&gt;"",G188&lt;&gt;""),(G188-F188)*24,"")</f>
        <v/>
      </c>
    </row>
    <row r="189">
      <c r="H189">
        <f>IF(AND(F189&lt;&gt;"",G189&lt;&gt;""),(G189-F189)*24,"")</f>
        <v/>
      </c>
    </row>
    <row r="190">
      <c r="H190">
        <f>IF(AND(F190&lt;&gt;"",G190&lt;&gt;""),(G190-F190)*24,"")</f>
        <v/>
      </c>
    </row>
    <row r="191">
      <c r="H191">
        <f>IF(AND(F191&lt;&gt;"",G191&lt;&gt;""),(G191-F191)*24,"")</f>
        <v/>
      </c>
    </row>
    <row r="192">
      <c r="H192">
        <f>IF(AND(F192&lt;&gt;"",G192&lt;&gt;""),(G192-F192)*24,"")</f>
        <v/>
      </c>
    </row>
    <row r="193">
      <c r="H193">
        <f>IF(AND(F193&lt;&gt;"",G193&lt;&gt;""),(G193-F193)*24,"")</f>
        <v/>
      </c>
    </row>
    <row r="194">
      <c r="H194">
        <f>IF(AND(F194&lt;&gt;"",G194&lt;&gt;""),(G194-F194)*24,"")</f>
        <v/>
      </c>
    </row>
    <row r="195">
      <c r="H195">
        <f>IF(AND(F195&lt;&gt;"",G195&lt;&gt;""),(G195-F195)*24,"")</f>
        <v/>
      </c>
    </row>
    <row r="196">
      <c r="H196">
        <f>IF(AND(F196&lt;&gt;"",G196&lt;&gt;""),(G196-F196)*24,"")</f>
        <v/>
      </c>
    </row>
    <row r="197">
      <c r="H197">
        <f>IF(AND(F197&lt;&gt;"",G197&lt;&gt;""),(G197-F197)*24,"")</f>
        <v/>
      </c>
    </row>
    <row r="198">
      <c r="H198">
        <f>IF(AND(F198&lt;&gt;"",G198&lt;&gt;""),(G198-F198)*24,"")</f>
        <v/>
      </c>
    </row>
    <row r="199">
      <c r="H199">
        <f>IF(AND(F199&lt;&gt;"",G199&lt;&gt;""),(G199-F199)*24,"")</f>
        <v/>
      </c>
    </row>
    <row r="200">
      <c r="H200">
        <f>IF(AND(F200&lt;&gt;"",G200&lt;&gt;""),(G200-F200)*24,"")</f>
        <v/>
      </c>
    </row>
    <row r="201">
      <c r="H201">
        <f>IF(AND(F201&lt;&gt;"",G201&lt;&gt;""),(G201-F201)*24,"")</f>
        <v/>
      </c>
    </row>
    <row r="202">
      <c r="H202">
        <f>IF(AND(F202&lt;&gt;"",G202&lt;&gt;""),(G202-F202)*24,"")</f>
        <v/>
      </c>
    </row>
    <row r="203">
      <c r="H203">
        <f>IF(AND(F203&lt;&gt;"",G203&lt;&gt;""),(G203-F203)*24,"")</f>
        <v/>
      </c>
    </row>
    <row r="204">
      <c r="H204">
        <f>IF(AND(F204&lt;&gt;"",G204&lt;&gt;""),(G204-F204)*24,"")</f>
        <v/>
      </c>
    </row>
    <row r="205">
      <c r="H205">
        <f>IF(AND(F205&lt;&gt;"",G205&lt;&gt;""),(G205-F205)*24,"")</f>
        <v/>
      </c>
    </row>
    <row r="206">
      <c r="H206">
        <f>IF(AND(F206&lt;&gt;"",G206&lt;&gt;""),(G206-F206)*24,"")</f>
        <v/>
      </c>
    </row>
    <row r="207">
      <c r="H207">
        <f>IF(AND(F207&lt;&gt;"",G207&lt;&gt;""),(G207-F207)*24,"")</f>
        <v/>
      </c>
    </row>
    <row r="208">
      <c r="H208">
        <f>IF(AND(F208&lt;&gt;"",G208&lt;&gt;""),(G208-F208)*24,"")</f>
        <v/>
      </c>
    </row>
    <row r="209">
      <c r="H209">
        <f>IF(AND(F209&lt;&gt;"",G209&lt;&gt;""),(G209-F209)*24,"")</f>
        <v/>
      </c>
    </row>
    <row r="210">
      <c r="H210">
        <f>IF(AND(F210&lt;&gt;"",G210&lt;&gt;""),(G210-F210)*24,"")</f>
        <v/>
      </c>
    </row>
    <row r="211">
      <c r="H211">
        <f>IF(AND(F211&lt;&gt;"",G211&lt;&gt;""),(G211-F211)*24,"")</f>
        <v/>
      </c>
    </row>
    <row r="212">
      <c r="H212">
        <f>IF(AND(F212&lt;&gt;"",G212&lt;&gt;""),(G212-F212)*24,"")</f>
        <v/>
      </c>
    </row>
    <row r="213">
      <c r="H213">
        <f>IF(AND(F213&lt;&gt;"",G213&lt;&gt;""),(G213-F213)*24,"")</f>
        <v/>
      </c>
    </row>
    <row r="214">
      <c r="H214">
        <f>IF(AND(F214&lt;&gt;"",G214&lt;&gt;""),(G214-F214)*24,"")</f>
        <v/>
      </c>
    </row>
    <row r="215">
      <c r="H215">
        <f>IF(AND(F215&lt;&gt;"",G215&lt;&gt;""),(G215-F215)*24,"")</f>
        <v/>
      </c>
    </row>
    <row r="216">
      <c r="H216">
        <f>IF(AND(F216&lt;&gt;"",G216&lt;&gt;""),(G216-F216)*24,"")</f>
        <v/>
      </c>
    </row>
    <row r="217">
      <c r="H217">
        <f>IF(AND(F217&lt;&gt;"",G217&lt;&gt;""),(G217-F217)*24,"")</f>
        <v/>
      </c>
    </row>
    <row r="218">
      <c r="H218">
        <f>IF(AND(F218&lt;&gt;"",G218&lt;&gt;""),(G218-F218)*24,"")</f>
        <v/>
      </c>
    </row>
    <row r="219">
      <c r="H219">
        <f>IF(AND(F219&lt;&gt;"",G219&lt;&gt;""),(G219-F219)*24,"")</f>
        <v/>
      </c>
    </row>
    <row r="220">
      <c r="H220">
        <f>IF(AND(F220&lt;&gt;"",G220&lt;&gt;""),(G220-F220)*24,"")</f>
        <v/>
      </c>
    </row>
    <row r="221">
      <c r="H221">
        <f>IF(AND(F221&lt;&gt;"",G221&lt;&gt;""),(G221-F221)*24,"")</f>
        <v/>
      </c>
    </row>
    <row r="222">
      <c r="H222">
        <f>IF(AND(F222&lt;&gt;"",G222&lt;&gt;""),(G222-F222)*24,"")</f>
        <v/>
      </c>
    </row>
    <row r="223">
      <c r="H223">
        <f>IF(AND(F223&lt;&gt;"",G223&lt;&gt;""),(G223-F223)*24,"")</f>
        <v/>
      </c>
    </row>
    <row r="224">
      <c r="H224">
        <f>IF(AND(F224&lt;&gt;"",G224&lt;&gt;""),(G224-F224)*24,"")</f>
        <v/>
      </c>
    </row>
    <row r="225">
      <c r="H225">
        <f>IF(AND(F225&lt;&gt;"",G225&lt;&gt;""),(G225-F225)*24,"")</f>
        <v/>
      </c>
    </row>
    <row r="226">
      <c r="H226">
        <f>IF(AND(F226&lt;&gt;"",G226&lt;&gt;""),(G226-F226)*24,"")</f>
        <v/>
      </c>
    </row>
    <row r="227">
      <c r="H227">
        <f>IF(AND(F227&lt;&gt;"",G227&lt;&gt;""),(G227-F227)*24,"")</f>
        <v/>
      </c>
    </row>
    <row r="228">
      <c r="H228">
        <f>IF(AND(F228&lt;&gt;"",G228&lt;&gt;""),(G228-F228)*24,"")</f>
        <v/>
      </c>
    </row>
    <row r="229">
      <c r="H229">
        <f>IF(AND(F229&lt;&gt;"",G229&lt;&gt;""),(G229-F229)*24,"")</f>
        <v/>
      </c>
    </row>
    <row r="230">
      <c r="H230">
        <f>IF(AND(F230&lt;&gt;"",G230&lt;&gt;""),(G230-F230)*24,"")</f>
        <v/>
      </c>
    </row>
    <row r="231">
      <c r="H231">
        <f>IF(AND(F231&lt;&gt;"",G231&lt;&gt;""),(G231-F231)*24,"")</f>
        <v/>
      </c>
    </row>
    <row r="232">
      <c r="H232">
        <f>IF(AND(F232&lt;&gt;"",G232&lt;&gt;""),(G232-F232)*24,"")</f>
        <v/>
      </c>
    </row>
    <row r="233">
      <c r="H233">
        <f>IF(AND(F233&lt;&gt;"",G233&lt;&gt;""),(G233-F233)*24,"")</f>
        <v/>
      </c>
    </row>
    <row r="234">
      <c r="H234">
        <f>IF(AND(F234&lt;&gt;"",G234&lt;&gt;""),(G234-F234)*24,"")</f>
        <v/>
      </c>
    </row>
    <row r="235">
      <c r="H235">
        <f>IF(AND(F235&lt;&gt;"",G235&lt;&gt;""),(G235-F235)*24,"")</f>
        <v/>
      </c>
    </row>
    <row r="236">
      <c r="H236">
        <f>IF(AND(F236&lt;&gt;"",G236&lt;&gt;""),(G236-F236)*24,"")</f>
        <v/>
      </c>
    </row>
    <row r="237">
      <c r="H237">
        <f>IF(AND(F237&lt;&gt;"",G237&lt;&gt;""),(G237-F237)*24,"")</f>
        <v/>
      </c>
    </row>
    <row r="238">
      <c r="H238">
        <f>IF(AND(F238&lt;&gt;"",G238&lt;&gt;""),(G238-F238)*24,"")</f>
        <v/>
      </c>
    </row>
    <row r="239">
      <c r="H239">
        <f>IF(AND(F239&lt;&gt;"",G239&lt;&gt;""),(G239-F239)*24,"")</f>
        <v/>
      </c>
    </row>
    <row r="240">
      <c r="H240">
        <f>IF(AND(F240&lt;&gt;"",G240&lt;&gt;""),(G240-F240)*24,"")</f>
        <v/>
      </c>
    </row>
    <row r="241">
      <c r="H241">
        <f>IF(AND(F241&lt;&gt;"",G241&lt;&gt;""),(G241-F241)*24,"")</f>
        <v/>
      </c>
    </row>
    <row r="242">
      <c r="H242">
        <f>IF(AND(F242&lt;&gt;"",G242&lt;&gt;""),(G242-F242)*24,"")</f>
        <v/>
      </c>
    </row>
    <row r="243">
      <c r="H243">
        <f>IF(AND(F243&lt;&gt;"",G243&lt;&gt;""),(G243-F243)*24,"")</f>
        <v/>
      </c>
    </row>
    <row r="244">
      <c r="H244">
        <f>IF(AND(F244&lt;&gt;"",G244&lt;&gt;""),(G244-F244)*24,"")</f>
        <v/>
      </c>
    </row>
    <row r="245">
      <c r="H245">
        <f>IF(AND(F245&lt;&gt;"",G245&lt;&gt;""),(G245-F245)*24,"")</f>
        <v/>
      </c>
    </row>
    <row r="246">
      <c r="H246">
        <f>IF(AND(F246&lt;&gt;"",G246&lt;&gt;""),(G246-F246)*24,"")</f>
        <v/>
      </c>
    </row>
    <row r="247">
      <c r="H247">
        <f>IF(AND(F247&lt;&gt;"",G247&lt;&gt;""),(G247-F247)*24,"")</f>
        <v/>
      </c>
    </row>
    <row r="248">
      <c r="H248">
        <f>IF(AND(F248&lt;&gt;"",G248&lt;&gt;""),(G248-F248)*24,"")</f>
        <v/>
      </c>
    </row>
    <row r="249">
      <c r="H249">
        <f>IF(AND(F249&lt;&gt;"",G249&lt;&gt;""),(G249-F249)*24,"")</f>
        <v/>
      </c>
    </row>
    <row r="250">
      <c r="H250">
        <f>IF(AND(F250&lt;&gt;"",G250&lt;&gt;""),(G250-F250)*24,"")</f>
        <v/>
      </c>
    </row>
    <row r="251">
      <c r="H251">
        <f>IF(AND(F251&lt;&gt;"",G251&lt;&gt;""),(G251-F251)*24,"")</f>
        <v/>
      </c>
    </row>
    <row r="252">
      <c r="H252">
        <f>IF(AND(F252&lt;&gt;"",G252&lt;&gt;""),(G252-F252)*24,"")</f>
        <v/>
      </c>
    </row>
    <row r="253">
      <c r="H253">
        <f>IF(AND(F253&lt;&gt;"",G253&lt;&gt;""),(G253-F253)*24,"")</f>
        <v/>
      </c>
    </row>
    <row r="254">
      <c r="H254">
        <f>IF(AND(F254&lt;&gt;"",G254&lt;&gt;""),(G254-F254)*24,"")</f>
        <v/>
      </c>
    </row>
    <row r="255">
      <c r="H255">
        <f>IF(AND(F255&lt;&gt;"",G255&lt;&gt;""),(G255-F255)*24,"")</f>
        <v/>
      </c>
    </row>
    <row r="256">
      <c r="H256">
        <f>IF(AND(F256&lt;&gt;"",G256&lt;&gt;""),(G256-F256)*24,"")</f>
        <v/>
      </c>
    </row>
    <row r="257">
      <c r="H257">
        <f>IF(AND(F257&lt;&gt;"",G257&lt;&gt;""),(G257-F257)*24,"")</f>
        <v/>
      </c>
    </row>
    <row r="258">
      <c r="H258">
        <f>IF(AND(F258&lt;&gt;"",G258&lt;&gt;""),(G258-F258)*24,"")</f>
        <v/>
      </c>
    </row>
    <row r="259">
      <c r="H259">
        <f>IF(AND(F259&lt;&gt;"",G259&lt;&gt;""),(G259-F259)*24,"")</f>
        <v/>
      </c>
    </row>
    <row r="260">
      <c r="H260">
        <f>IF(AND(F260&lt;&gt;"",G260&lt;&gt;""),(G260-F260)*24,"")</f>
        <v/>
      </c>
    </row>
    <row r="261">
      <c r="H261">
        <f>IF(AND(F261&lt;&gt;"",G261&lt;&gt;""),(G261-F261)*24,"")</f>
        <v/>
      </c>
    </row>
    <row r="262">
      <c r="H262">
        <f>IF(AND(F262&lt;&gt;"",G262&lt;&gt;""),(G262-F262)*24,"")</f>
        <v/>
      </c>
    </row>
    <row r="263">
      <c r="H263">
        <f>IF(AND(F263&lt;&gt;"",G263&lt;&gt;""),(G263-F263)*24,"")</f>
        <v/>
      </c>
    </row>
    <row r="264">
      <c r="H264">
        <f>IF(AND(F264&lt;&gt;"",G264&lt;&gt;""),(G264-F264)*24,"")</f>
        <v/>
      </c>
    </row>
    <row r="265">
      <c r="H265">
        <f>IF(AND(F265&lt;&gt;"",G265&lt;&gt;""),(G265-F265)*24,"")</f>
        <v/>
      </c>
    </row>
    <row r="266">
      <c r="H266">
        <f>IF(AND(F266&lt;&gt;"",G266&lt;&gt;""),(G266-F266)*24,"")</f>
        <v/>
      </c>
    </row>
    <row r="267">
      <c r="H267">
        <f>IF(AND(F267&lt;&gt;"",G267&lt;&gt;""),(G267-F267)*24,"")</f>
        <v/>
      </c>
    </row>
    <row r="268">
      <c r="H268">
        <f>IF(AND(F268&lt;&gt;"",G268&lt;&gt;""),(G268-F268)*24,"")</f>
        <v/>
      </c>
    </row>
    <row r="269">
      <c r="H269">
        <f>IF(AND(F269&lt;&gt;"",G269&lt;&gt;""),(G269-F269)*24,"")</f>
        <v/>
      </c>
    </row>
    <row r="270">
      <c r="H270">
        <f>IF(AND(F270&lt;&gt;"",G270&lt;&gt;""),(G270-F270)*24,"")</f>
        <v/>
      </c>
    </row>
    <row r="271">
      <c r="H271">
        <f>IF(AND(F271&lt;&gt;"",G271&lt;&gt;""),(G271-F271)*24,"")</f>
        <v/>
      </c>
    </row>
    <row r="272">
      <c r="H272">
        <f>IF(AND(F272&lt;&gt;"",G272&lt;&gt;""),(G272-F272)*24,"")</f>
        <v/>
      </c>
    </row>
    <row r="273">
      <c r="H273">
        <f>IF(AND(F273&lt;&gt;"",G273&lt;&gt;""),(G273-F273)*24,"")</f>
        <v/>
      </c>
    </row>
    <row r="274">
      <c r="H274">
        <f>IF(AND(F274&lt;&gt;"",G274&lt;&gt;""),(G274-F274)*24,"")</f>
        <v/>
      </c>
    </row>
    <row r="275">
      <c r="H275">
        <f>IF(AND(F275&lt;&gt;"",G275&lt;&gt;""),(G275-F275)*24,"")</f>
        <v/>
      </c>
    </row>
    <row r="276">
      <c r="H276">
        <f>IF(AND(F276&lt;&gt;"",G276&lt;&gt;""),(G276-F276)*24,"")</f>
        <v/>
      </c>
    </row>
    <row r="277">
      <c r="H277">
        <f>IF(AND(F277&lt;&gt;"",G277&lt;&gt;""),(G277-F277)*24,"")</f>
        <v/>
      </c>
    </row>
    <row r="278">
      <c r="H278">
        <f>IF(AND(F278&lt;&gt;"",G278&lt;&gt;""),(G278-F278)*24,"")</f>
        <v/>
      </c>
    </row>
    <row r="279">
      <c r="H279">
        <f>IF(AND(F279&lt;&gt;"",G279&lt;&gt;""),(G279-F279)*24,"")</f>
        <v/>
      </c>
    </row>
    <row r="280">
      <c r="H280">
        <f>IF(AND(F280&lt;&gt;"",G280&lt;&gt;""),(G280-F280)*24,"")</f>
        <v/>
      </c>
    </row>
    <row r="281">
      <c r="H281">
        <f>IF(AND(F281&lt;&gt;"",G281&lt;&gt;""),(G281-F281)*24,"")</f>
        <v/>
      </c>
    </row>
    <row r="282">
      <c r="H282">
        <f>IF(AND(F282&lt;&gt;"",G282&lt;&gt;""),(G282-F282)*24,"")</f>
        <v/>
      </c>
    </row>
    <row r="283">
      <c r="H283">
        <f>IF(AND(F283&lt;&gt;"",G283&lt;&gt;""),(G283-F283)*24,"")</f>
        <v/>
      </c>
    </row>
    <row r="284">
      <c r="H284">
        <f>IF(AND(F284&lt;&gt;"",G284&lt;&gt;""),(G284-F284)*24,"")</f>
        <v/>
      </c>
    </row>
    <row r="285">
      <c r="H285">
        <f>IF(AND(F285&lt;&gt;"",G285&lt;&gt;""),(G285-F285)*24,"")</f>
        <v/>
      </c>
    </row>
    <row r="286">
      <c r="H286">
        <f>IF(AND(F286&lt;&gt;"",G286&lt;&gt;""),(G286-F286)*24,"")</f>
        <v/>
      </c>
    </row>
    <row r="287">
      <c r="H287">
        <f>IF(AND(F287&lt;&gt;"",G287&lt;&gt;""),(G287-F287)*24,"")</f>
        <v/>
      </c>
    </row>
    <row r="288">
      <c r="H288">
        <f>IF(AND(F288&lt;&gt;"",G288&lt;&gt;""),(G288-F288)*24,"")</f>
        <v/>
      </c>
    </row>
    <row r="289">
      <c r="H289">
        <f>IF(AND(F289&lt;&gt;"",G289&lt;&gt;""),(G289-F289)*24,"")</f>
        <v/>
      </c>
    </row>
    <row r="290">
      <c r="H290">
        <f>IF(AND(F290&lt;&gt;"",G290&lt;&gt;""),(G290-F290)*24,"")</f>
        <v/>
      </c>
    </row>
    <row r="291">
      <c r="H291">
        <f>IF(AND(F291&lt;&gt;"",G291&lt;&gt;""),(G291-F291)*24,"")</f>
        <v/>
      </c>
    </row>
    <row r="292">
      <c r="H292">
        <f>IF(AND(F292&lt;&gt;"",G292&lt;&gt;""),(G292-F292)*24,"")</f>
        <v/>
      </c>
    </row>
    <row r="293">
      <c r="H293">
        <f>IF(AND(F293&lt;&gt;"",G293&lt;&gt;""),(G293-F293)*24,"")</f>
        <v/>
      </c>
    </row>
    <row r="294">
      <c r="H294">
        <f>IF(AND(F294&lt;&gt;"",G294&lt;&gt;""),(G294-F294)*24,"")</f>
        <v/>
      </c>
    </row>
    <row r="295">
      <c r="H295">
        <f>IF(AND(F295&lt;&gt;"",G295&lt;&gt;""),(G295-F295)*24,"")</f>
        <v/>
      </c>
    </row>
    <row r="296">
      <c r="H296">
        <f>IF(AND(F296&lt;&gt;"",G296&lt;&gt;""),(G296-F296)*24,"")</f>
        <v/>
      </c>
    </row>
    <row r="297">
      <c r="H297">
        <f>IF(AND(F297&lt;&gt;"",G297&lt;&gt;""),(G297-F297)*24,"")</f>
        <v/>
      </c>
    </row>
    <row r="298">
      <c r="H298">
        <f>IF(AND(F298&lt;&gt;"",G298&lt;&gt;""),(G298-F298)*24,"")</f>
        <v/>
      </c>
    </row>
    <row r="299">
      <c r="H299">
        <f>IF(AND(F299&lt;&gt;"",G299&lt;&gt;""),(G299-F299)*24,"")</f>
        <v/>
      </c>
    </row>
    <row r="300">
      <c r="H300">
        <f>IF(AND(F300&lt;&gt;"",G300&lt;&gt;""),(G300-F300)*24,"")</f>
        <v/>
      </c>
    </row>
    <row r="301">
      <c r="H301">
        <f>IF(AND(F301&lt;&gt;"",G301&lt;&gt;""),(G301-F301)*24,"")</f>
        <v/>
      </c>
    </row>
    <row r="302">
      <c r="H302">
        <f>IF(AND(F302&lt;&gt;"",G302&lt;&gt;""),(G302-F302)*24,"")</f>
        <v/>
      </c>
    </row>
    <row r="303">
      <c r="H303">
        <f>IF(AND(F303&lt;&gt;"",G303&lt;&gt;""),(G303-F303)*24,"")</f>
        <v/>
      </c>
    </row>
    <row r="304">
      <c r="H304">
        <f>IF(AND(F304&lt;&gt;"",G304&lt;&gt;""),(G304-F304)*24,"")</f>
        <v/>
      </c>
    </row>
    <row r="305">
      <c r="H305">
        <f>IF(AND(F305&lt;&gt;"",G305&lt;&gt;""),(G305-F305)*24,"")</f>
        <v/>
      </c>
    </row>
    <row r="306">
      <c r="H306">
        <f>IF(AND(F306&lt;&gt;"",G306&lt;&gt;""),(G306-F306)*24,"")</f>
        <v/>
      </c>
    </row>
    <row r="307">
      <c r="H307">
        <f>IF(AND(F307&lt;&gt;"",G307&lt;&gt;""),(G307-F307)*24,"")</f>
        <v/>
      </c>
    </row>
    <row r="308">
      <c r="H308">
        <f>IF(AND(F308&lt;&gt;"",G308&lt;&gt;""),(G308-F308)*24,"")</f>
        <v/>
      </c>
    </row>
    <row r="309">
      <c r="H309">
        <f>IF(AND(F309&lt;&gt;"",G309&lt;&gt;""),(G309-F309)*24,"")</f>
        <v/>
      </c>
    </row>
    <row r="310">
      <c r="H310">
        <f>IF(AND(F310&lt;&gt;"",G310&lt;&gt;""),(G310-F310)*24,"")</f>
        <v/>
      </c>
    </row>
    <row r="311">
      <c r="H311">
        <f>IF(AND(F311&lt;&gt;"",G311&lt;&gt;""),(G311-F311)*24,"")</f>
        <v/>
      </c>
    </row>
    <row r="312">
      <c r="H312">
        <f>IF(AND(F312&lt;&gt;"",G312&lt;&gt;""),(G312-F312)*24,"")</f>
        <v/>
      </c>
    </row>
    <row r="313">
      <c r="H313">
        <f>IF(AND(F313&lt;&gt;"",G313&lt;&gt;""),(G313-F313)*24,"")</f>
        <v/>
      </c>
    </row>
    <row r="314">
      <c r="H314">
        <f>IF(AND(F314&lt;&gt;"",G314&lt;&gt;""),(G314-F314)*24,"")</f>
        <v/>
      </c>
    </row>
    <row r="315">
      <c r="H315">
        <f>IF(AND(F315&lt;&gt;"",G315&lt;&gt;""),(G315-F315)*24,"")</f>
        <v/>
      </c>
    </row>
    <row r="316">
      <c r="H316">
        <f>IF(AND(F316&lt;&gt;"",G316&lt;&gt;""),(G316-F316)*24,"")</f>
        <v/>
      </c>
    </row>
    <row r="317">
      <c r="H317">
        <f>IF(AND(F317&lt;&gt;"",G317&lt;&gt;""),(G317-F317)*24,"")</f>
        <v/>
      </c>
    </row>
    <row r="318">
      <c r="H318">
        <f>IF(AND(F318&lt;&gt;"",G318&lt;&gt;""),(G318-F318)*24,"")</f>
        <v/>
      </c>
    </row>
    <row r="319">
      <c r="H319">
        <f>IF(AND(F319&lt;&gt;"",G319&lt;&gt;""),(G319-F319)*24,"")</f>
        <v/>
      </c>
    </row>
    <row r="320">
      <c r="H320">
        <f>IF(AND(F320&lt;&gt;"",G320&lt;&gt;""),(G320-F320)*24,"")</f>
        <v/>
      </c>
    </row>
    <row r="321">
      <c r="H321">
        <f>IF(AND(F321&lt;&gt;"",G321&lt;&gt;""),(G321-F321)*24,"")</f>
        <v/>
      </c>
    </row>
    <row r="322">
      <c r="H322">
        <f>IF(AND(F322&lt;&gt;"",G322&lt;&gt;""),(G322-F322)*24,"")</f>
        <v/>
      </c>
    </row>
    <row r="323">
      <c r="H323">
        <f>IF(AND(F323&lt;&gt;"",G323&lt;&gt;""),(G323-F323)*24,"")</f>
        <v/>
      </c>
    </row>
    <row r="324">
      <c r="H324">
        <f>IF(AND(F324&lt;&gt;"",G324&lt;&gt;""),(G324-F324)*24,"")</f>
        <v/>
      </c>
    </row>
    <row r="325">
      <c r="H325">
        <f>IF(AND(F325&lt;&gt;"",G325&lt;&gt;""),(G325-F325)*24,"")</f>
        <v/>
      </c>
    </row>
    <row r="326">
      <c r="H326">
        <f>IF(AND(F326&lt;&gt;"",G326&lt;&gt;""),(G326-F326)*24,"")</f>
        <v/>
      </c>
    </row>
    <row r="327">
      <c r="H327">
        <f>IF(AND(F327&lt;&gt;"",G327&lt;&gt;""),(G327-F327)*24,"")</f>
        <v/>
      </c>
    </row>
    <row r="328">
      <c r="H328">
        <f>IF(AND(F328&lt;&gt;"",G328&lt;&gt;""),(G328-F328)*24,"")</f>
        <v/>
      </c>
    </row>
    <row r="329">
      <c r="H329">
        <f>IF(AND(F329&lt;&gt;"",G329&lt;&gt;""),(G329-F329)*24,"")</f>
        <v/>
      </c>
    </row>
    <row r="330">
      <c r="H330">
        <f>IF(AND(F330&lt;&gt;"",G330&lt;&gt;""),(G330-F330)*24,"")</f>
        <v/>
      </c>
    </row>
    <row r="331">
      <c r="H331">
        <f>IF(AND(F331&lt;&gt;"",G331&lt;&gt;""),(G331-F331)*24,"")</f>
        <v/>
      </c>
    </row>
    <row r="332">
      <c r="H332">
        <f>IF(AND(F332&lt;&gt;"",G332&lt;&gt;""),(G332-F332)*24,"")</f>
        <v/>
      </c>
    </row>
    <row r="333">
      <c r="H333">
        <f>IF(AND(F333&lt;&gt;"",G333&lt;&gt;""),(G333-F333)*24,"")</f>
        <v/>
      </c>
    </row>
    <row r="334">
      <c r="H334">
        <f>IF(AND(F334&lt;&gt;"",G334&lt;&gt;""),(G334-F334)*24,"")</f>
        <v/>
      </c>
    </row>
    <row r="335">
      <c r="H335">
        <f>IF(AND(F335&lt;&gt;"",G335&lt;&gt;""),(G335-F335)*24,"")</f>
        <v/>
      </c>
    </row>
    <row r="336">
      <c r="H336">
        <f>IF(AND(F336&lt;&gt;"",G336&lt;&gt;""),(G336-F336)*24,"")</f>
        <v/>
      </c>
    </row>
    <row r="337">
      <c r="H337">
        <f>IF(AND(F337&lt;&gt;"",G337&lt;&gt;""),(G337-F337)*24,"")</f>
        <v/>
      </c>
    </row>
    <row r="338">
      <c r="H338">
        <f>IF(AND(F338&lt;&gt;"",G338&lt;&gt;""),(G338-F338)*24,"")</f>
        <v/>
      </c>
    </row>
    <row r="339">
      <c r="H339">
        <f>IF(AND(F339&lt;&gt;"",G339&lt;&gt;""),(G339-F339)*24,"")</f>
        <v/>
      </c>
    </row>
    <row r="340">
      <c r="H340">
        <f>IF(AND(F340&lt;&gt;"",G340&lt;&gt;""),(G340-F340)*24,"")</f>
        <v/>
      </c>
    </row>
    <row r="341">
      <c r="H341">
        <f>IF(AND(F341&lt;&gt;"",G341&lt;&gt;""),(G341-F341)*24,"")</f>
        <v/>
      </c>
    </row>
    <row r="342">
      <c r="H342">
        <f>IF(AND(F342&lt;&gt;"",G342&lt;&gt;""),(G342-F342)*24,"")</f>
        <v/>
      </c>
    </row>
    <row r="343">
      <c r="H343">
        <f>IF(AND(F343&lt;&gt;"",G343&lt;&gt;""),(G343-F343)*24,"")</f>
        <v/>
      </c>
    </row>
    <row r="344">
      <c r="H344">
        <f>IF(AND(F344&lt;&gt;"",G344&lt;&gt;""),(G344-F344)*24,"")</f>
        <v/>
      </c>
    </row>
    <row r="345">
      <c r="H345">
        <f>IF(AND(F345&lt;&gt;"",G345&lt;&gt;""),(G345-F345)*24,"")</f>
        <v/>
      </c>
    </row>
    <row r="346">
      <c r="H346">
        <f>IF(AND(F346&lt;&gt;"",G346&lt;&gt;""),(G346-F346)*24,"")</f>
        <v/>
      </c>
    </row>
    <row r="347">
      <c r="H347">
        <f>IF(AND(F347&lt;&gt;"",G347&lt;&gt;""),(G347-F347)*24,"")</f>
        <v/>
      </c>
    </row>
    <row r="348">
      <c r="H348">
        <f>IF(AND(F348&lt;&gt;"",G348&lt;&gt;""),(G348-F348)*24,"")</f>
        <v/>
      </c>
    </row>
    <row r="349">
      <c r="H349">
        <f>IF(AND(F349&lt;&gt;"",G349&lt;&gt;""),(G349-F349)*24,"")</f>
        <v/>
      </c>
    </row>
    <row r="350">
      <c r="H350">
        <f>IF(AND(F350&lt;&gt;"",G350&lt;&gt;""),(G350-F350)*24,"")</f>
        <v/>
      </c>
    </row>
    <row r="351">
      <c r="H351">
        <f>IF(AND(F351&lt;&gt;"",G351&lt;&gt;""),(G351-F351)*24,"")</f>
        <v/>
      </c>
    </row>
    <row r="352">
      <c r="H352">
        <f>IF(AND(F352&lt;&gt;"",G352&lt;&gt;""),(G352-F352)*24,"")</f>
        <v/>
      </c>
    </row>
    <row r="353">
      <c r="H353">
        <f>IF(AND(F353&lt;&gt;"",G353&lt;&gt;""),(G353-F353)*24,"")</f>
        <v/>
      </c>
    </row>
    <row r="354">
      <c r="H354">
        <f>IF(AND(F354&lt;&gt;"",G354&lt;&gt;""),(G354-F354)*24,"")</f>
        <v/>
      </c>
    </row>
    <row r="355">
      <c r="H355">
        <f>IF(AND(F355&lt;&gt;"",G355&lt;&gt;""),(G355-F355)*24,"")</f>
        <v/>
      </c>
    </row>
    <row r="356">
      <c r="H356">
        <f>IF(AND(F356&lt;&gt;"",G356&lt;&gt;""),(G356-F356)*24,"")</f>
        <v/>
      </c>
    </row>
    <row r="357">
      <c r="H357">
        <f>IF(AND(F357&lt;&gt;"",G357&lt;&gt;""),(G357-F357)*24,"")</f>
        <v/>
      </c>
    </row>
    <row r="358">
      <c r="H358">
        <f>IF(AND(F358&lt;&gt;"",G358&lt;&gt;""),(G358-F358)*24,"")</f>
        <v/>
      </c>
    </row>
    <row r="359">
      <c r="H359">
        <f>IF(AND(F359&lt;&gt;"",G359&lt;&gt;""),(G359-F359)*24,"")</f>
        <v/>
      </c>
    </row>
    <row r="360">
      <c r="H360">
        <f>IF(AND(F360&lt;&gt;"",G360&lt;&gt;""),(G360-F360)*24,"")</f>
        <v/>
      </c>
    </row>
    <row r="361">
      <c r="H361">
        <f>IF(AND(F361&lt;&gt;"",G361&lt;&gt;""),(G361-F361)*24,"")</f>
        <v/>
      </c>
    </row>
    <row r="362">
      <c r="H362">
        <f>IF(AND(F362&lt;&gt;"",G362&lt;&gt;""),(G362-F362)*24,"")</f>
        <v/>
      </c>
    </row>
    <row r="363">
      <c r="H363">
        <f>IF(AND(F363&lt;&gt;"",G363&lt;&gt;""),(G363-F363)*24,"")</f>
        <v/>
      </c>
    </row>
    <row r="364">
      <c r="H364">
        <f>IF(AND(F364&lt;&gt;"",G364&lt;&gt;""),(G364-F364)*24,"")</f>
        <v/>
      </c>
    </row>
    <row r="365">
      <c r="H365">
        <f>IF(AND(F365&lt;&gt;"",G365&lt;&gt;""),(G365-F365)*24,"")</f>
        <v/>
      </c>
    </row>
    <row r="366">
      <c r="H366">
        <f>IF(AND(F366&lt;&gt;"",G366&lt;&gt;""),(G366-F366)*24,"")</f>
        <v/>
      </c>
    </row>
    <row r="367">
      <c r="H367">
        <f>IF(AND(F367&lt;&gt;"",G367&lt;&gt;""),(G367-F367)*24,"")</f>
        <v/>
      </c>
    </row>
    <row r="368">
      <c r="H368">
        <f>IF(AND(F368&lt;&gt;"",G368&lt;&gt;""),(G368-F368)*24,"")</f>
        <v/>
      </c>
    </row>
    <row r="369">
      <c r="H369">
        <f>IF(AND(F369&lt;&gt;"",G369&lt;&gt;""),(G369-F369)*24,"")</f>
        <v/>
      </c>
    </row>
    <row r="370">
      <c r="H370">
        <f>IF(AND(F370&lt;&gt;"",G370&lt;&gt;""),(G370-F370)*24,"")</f>
        <v/>
      </c>
    </row>
    <row r="371">
      <c r="H371">
        <f>IF(AND(F371&lt;&gt;"",G371&lt;&gt;""),(G371-F371)*24,"")</f>
        <v/>
      </c>
    </row>
    <row r="372">
      <c r="H372">
        <f>IF(AND(F372&lt;&gt;"",G372&lt;&gt;""),(G372-F372)*24,"")</f>
        <v/>
      </c>
    </row>
    <row r="373">
      <c r="H373">
        <f>IF(AND(F373&lt;&gt;"",G373&lt;&gt;""),(G373-F373)*24,"")</f>
        <v/>
      </c>
    </row>
    <row r="374">
      <c r="H374">
        <f>IF(AND(F374&lt;&gt;"",G374&lt;&gt;""),(G374-F374)*24,"")</f>
        <v/>
      </c>
    </row>
    <row r="375">
      <c r="H375">
        <f>IF(AND(F375&lt;&gt;"",G375&lt;&gt;""),(G375-F375)*24,"")</f>
        <v/>
      </c>
    </row>
    <row r="376">
      <c r="H376">
        <f>IF(AND(F376&lt;&gt;"",G376&lt;&gt;""),(G376-F376)*24,"")</f>
        <v/>
      </c>
    </row>
    <row r="377">
      <c r="H377">
        <f>IF(AND(F377&lt;&gt;"",G377&lt;&gt;""),(G377-F377)*24,"")</f>
        <v/>
      </c>
    </row>
    <row r="378">
      <c r="H378">
        <f>IF(AND(F378&lt;&gt;"",G378&lt;&gt;""),(G378-F378)*24,"")</f>
        <v/>
      </c>
    </row>
    <row r="379">
      <c r="H379">
        <f>IF(AND(F379&lt;&gt;"",G379&lt;&gt;""),(G379-F379)*24,"")</f>
        <v/>
      </c>
    </row>
    <row r="380">
      <c r="H380">
        <f>IF(AND(F380&lt;&gt;"",G380&lt;&gt;""),(G380-F380)*24,"")</f>
        <v/>
      </c>
    </row>
    <row r="381">
      <c r="H381">
        <f>IF(AND(F381&lt;&gt;"",G381&lt;&gt;""),(G381-F381)*24,"")</f>
        <v/>
      </c>
    </row>
    <row r="382">
      <c r="H382">
        <f>IF(AND(F382&lt;&gt;"",G382&lt;&gt;""),(G382-F382)*24,"")</f>
        <v/>
      </c>
    </row>
    <row r="383">
      <c r="H383">
        <f>IF(AND(F383&lt;&gt;"",G383&lt;&gt;""),(G383-F383)*24,"")</f>
        <v/>
      </c>
    </row>
    <row r="384">
      <c r="H384">
        <f>IF(AND(F384&lt;&gt;"",G384&lt;&gt;""),(G384-F384)*24,"")</f>
        <v/>
      </c>
    </row>
    <row r="385">
      <c r="H385">
        <f>IF(AND(F385&lt;&gt;"",G385&lt;&gt;""),(G385-F385)*24,"")</f>
        <v/>
      </c>
    </row>
    <row r="386">
      <c r="H386">
        <f>IF(AND(F386&lt;&gt;"",G386&lt;&gt;""),(G386-F386)*24,"")</f>
        <v/>
      </c>
    </row>
    <row r="387">
      <c r="H387">
        <f>IF(AND(F387&lt;&gt;"",G387&lt;&gt;""),(G387-F387)*24,"")</f>
        <v/>
      </c>
    </row>
    <row r="388">
      <c r="H388">
        <f>IF(AND(F388&lt;&gt;"",G388&lt;&gt;""),(G388-F388)*24,"")</f>
        <v/>
      </c>
    </row>
    <row r="389">
      <c r="H389">
        <f>IF(AND(F389&lt;&gt;"",G389&lt;&gt;""),(G389-F389)*24,"")</f>
        <v/>
      </c>
    </row>
    <row r="390">
      <c r="H390">
        <f>IF(AND(F390&lt;&gt;"",G390&lt;&gt;""),(G390-F390)*24,"")</f>
        <v/>
      </c>
    </row>
    <row r="391">
      <c r="H391">
        <f>IF(AND(F391&lt;&gt;"",G391&lt;&gt;""),(G391-F391)*24,"")</f>
        <v/>
      </c>
    </row>
    <row r="392">
      <c r="H392">
        <f>IF(AND(F392&lt;&gt;"",G392&lt;&gt;""),(G392-F392)*24,"")</f>
        <v/>
      </c>
    </row>
    <row r="393">
      <c r="H393">
        <f>IF(AND(F393&lt;&gt;"",G393&lt;&gt;""),(G393-F393)*24,"")</f>
        <v/>
      </c>
    </row>
    <row r="394">
      <c r="H394">
        <f>IF(AND(F394&lt;&gt;"",G394&lt;&gt;""),(G394-F394)*24,"")</f>
        <v/>
      </c>
    </row>
    <row r="395">
      <c r="H395">
        <f>IF(AND(F395&lt;&gt;"",G395&lt;&gt;""),(G395-F395)*24,"")</f>
        <v/>
      </c>
    </row>
    <row r="396">
      <c r="H396">
        <f>IF(AND(F396&lt;&gt;"",G396&lt;&gt;""),(G396-F396)*24,"")</f>
        <v/>
      </c>
    </row>
    <row r="397">
      <c r="H397">
        <f>IF(AND(F397&lt;&gt;"",G397&lt;&gt;""),(G397-F397)*24,"")</f>
        <v/>
      </c>
    </row>
    <row r="398">
      <c r="H398">
        <f>IF(AND(F398&lt;&gt;"",G398&lt;&gt;""),(G398-F398)*24,"")</f>
        <v/>
      </c>
    </row>
    <row r="399">
      <c r="H399">
        <f>IF(AND(F399&lt;&gt;"",G399&lt;&gt;""),(G399-F399)*24,"")</f>
        <v/>
      </c>
    </row>
    <row r="400">
      <c r="H400">
        <f>IF(AND(F400&lt;&gt;"",G400&lt;&gt;""),(G400-F400)*24,"")</f>
        <v/>
      </c>
    </row>
    <row r="401">
      <c r="H401">
        <f>IF(AND(F401&lt;&gt;"",G401&lt;&gt;""),(G401-F401)*24,"")</f>
        <v/>
      </c>
    </row>
    <row r="402">
      <c r="H402">
        <f>IF(AND(F402&lt;&gt;"",G402&lt;&gt;""),(G402-F402)*24,"")</f>
        <v/>
      </c>
    </row>
    <row r="403">
      <c r="H403">
        <f>IF(AND(F403&lt;&gt;"",G403&lt;&gt;""),(G403-F403)*24,"")</f>
        <v/>
      </c>
    </row>
    <row r="404">
      <c r="H404">
        <f>IF(AND(F404&lt;&gt;"",G404&lt;&gt;""),(G404-F404)*24,"")</f>
        <v/>
      </c>
    </row>
    <row r="405">
      <c r="H405">
        <f>IF(AND(F405&lt;&gt;"",G405&lt;&gt;""),(G405-F405)*24,"")</f>
        <v/>
      </c>
    </row>
    <row r="406">
      <c r="H406">
        <f>IF(AND(F406&lt;&gt;"",G406&lt;&gt;""),(G406-F406)*24,"")</f>
        <v/>
      </c>
    </row>
    <row r="407">
      <c r="H407">
        <f>IF(AND(F407&lt;&gt;"",G407&lt;&gt;""),(G407-F407)*24,"")</f>
        <v/>
      </c>
    </row>
    <row r="408">
      <c r="H408">
        <f>IF(AND(F408&lt;&gt;"",G408&lt;&gt;""),(G408-F408)*24,"")</f>
        <v/>
      </c>
    </row>
    <row r="409">
      <c r="H409">
        <f>IF(AND(F409&lt;&gt;"",G409&lt;&gt;""),(G409-F409)*24,"")</f>
        <v/>
      </c>
    </row>
    <row r="410">
      <c r="H410">
        <f>IF(AND(F410&lt;&gt;"",G410&lt;&gt;""),(G410-F410)*24,"")</f>
        <v/>
      </c>
    </row>
    <row r="411">
      <c r="H411">
        <f>IF(AND(F411&lt;&gt;"",G411&lt;&gt;""),(G411-F411)*24,"")</f>
        <v/>
      </c>
    </row>
    <row r="412">
      <c r="H412">
        <f>IF(AND(F412&lt;&gt;"",G412&lt;&gt;""),(G412-F412)*24,"")</f>
        <v/>
      </c>
    </row>
    <row r="413">
      <c r="H413">
        <f>IF(AND(F413&lt;&gt;"",G413&lt;&gt;""),(G413-F413)*24,"")</f>
        <v/>
      </c>
    </row>
    <row r="414">
      <c r="H414">
        <f>IF(AND(F414&lt;&gt;"",G414&lt;&gt;""),(G414-F414)*24,"")</f>
        <v/>
      </c>
    </row>
    <row r="415">
      <c r="H415">
        <f>IF(AND(F415&lt;&gt;"",G415&lt;&gt;""),(G415-F415)*24,"")</f>
        <v/>
      </c>
    </row>
    <row r="416">
      <c r="H416">
        <f>IF(AND(F416&lt;&gt;"",G416&lt;&gt;""),(G416-F416)*24,"")</f>
        <v/>
      </c>
    </row>
    <row r="417">
      <c r="H417">
        <f>IF(AND(F417&lt;&gt;"",G417&lt;&gt;""),(G417-F417)*24,"")</f>
        <v/>
      </c>
    </row>
    <row r="418">
      <c r="H418">
        <f>IF(AND(F418&lt;&gt;"",G418&lt;&gt;""),(G418-F418)*24,"")</f>
        <v/>
      </c>
    </row>
    <row r="419">
      <c r="H419">
        <f>IF(AND(F419&lt;&gt;"",G419&lt;&gt;""),(G419-F419)*24,"")</f>
        <v/>
      </c>
    </row>
    <row r="420">
      <c r="H420">
        <f>IF(AND(F420&lt;&gt;"",G420&lt;&gt;""),(G420-F420)*24,"")</f>
        <v/>
      </c>
    </row>
    <row r="421">
      <c r="H421">
        <f>IF(AND(F421&lt;&gt;"",G421&lt;&gt;""),(G421-F421)*24,"")</f>
        <v/>
      </c>
    </row>
    <row r="422">
      <c r="H422">
        <f>IF(AND(F422&lt;&gt;"",G422&lt;&gt;""),(G422-F422)*24,"")</f>
        <v/>
      </c>
    </row>
    <row r="423">
      <c r="H423">
        <f>IF(AND(F423&lt;&gt;"",G423&lt;&gt;""),(G423-F423)*24,"")</f>
        <v/>
      </c>
    </row>
    <row r="424">
      <c r="H424">
        <f>IF(AND(F424&lt;&gt;"",G424&lt;&gt;""),(G424-F424)*24,"")</f>
        <v/>
      </c>
    </row>
    <row r="425">
      <c r="H425">
        <f>IF(AND(F425&lt;&gt;"",G425&lt;&gt;""),(G425-F425)*24,"")</f>
        <v/>
      </c>
    </row>
    <row r="426">
      <c r="H426">
        <f>IF(AND(F426&lt;&gt;"",G426&lt;&gt;""),(G426-F426)*24,"")</f>
        <v/>
      </c>
    </row>
    <row r="427">
      <c r="H427">
        <f>IF(AND(F427&lt;&gt;"",G427&lt;&gt;""),(G427-F427)*24,"")</f>
        <v/>
      </c>
    </row>
    <row r="428">
      <c r="H428">
        <f>IF(AND(F428&lt;&gt;"",G428&lt;&gt;""),(G428-F428)*24,"")</f>
        <v/>
      </c>
    </row>
    <row r="429">
      <c r="H429">
        <f>IF(AND(F429&lt;&gt;"",G429&lt;&gt;""),(G429-F429)*24,"")</f>
        <v/>
      </c>
    </row>
    <row r="430">
      <c r="H430">
        <f>IF(AND(F430&lt;&gt;"",G430&lt;&gt;""),(G430-F430)*24,"")</f>
        <v/>
      </c>
    </row>
    <row r="431">
      <c r="H431">
        <f>IF(AND(F431&lt;&gt;"",G431&lt;&gt;""),(G431-F431)*24,"")</f>
        <v/>
      </c>
    </row>
    <row r="432">
      <c r="H432">
        <f>IF(AND(F432&lt;&gt;"",G432&lt;&gt;""),(G432-F432)*24,"")</f>
        <v/>
      </c>
    </row>
    <row r="433">
      <c r="H433">
        <f>IF(AND(F433&lt;&gt;"",G433&lt;&gt;""),(G433-F433)*24,"")</f>
        <v/>
      </c>
    </row>
    <row r="434">
      <c r="H434">
        <f>IF(AND(F434&lt;&gt;"",G434&lt;&gt;""),(G434-F434)*24,"")</f>
        <v/>
      </c>
    </row>
    <row r="435">
      <c r="H435">
        <f>IF(AND(F435&lt;&gt;"",G435&lt;&gt;""),(G435-F435)*24,"")</f>
        <v/>
      </c>
    </row>
    <row r="436">
      <c r="H436">
        <f>IF(AND(F436&lt;&gt;"",G436&lt;&gt;""),(G436-F436)*24,"")</f>
        <v/>
      </c>
    </row>
    <row r="437">
      <c r="H437">
        <f>IF(AND(F437&lt;&gt;"",G437&lt;&gt;""),(G437-F437)*24,"")</f>
        <v/>
      </c>
    </row>
    <row r="438">
      <c r="H438">
        <f>IF(AND(F438&lt;&gt;"",G438&lt;&gt;""),(G438-F438)*24,"")</f>
        <v/>
      </c>
    </row>
    <row r="439">
      <c r="H439">
        <f>IF(AND(F439&lt;&gt;"",G439&lt;&gt;""),(G439-F439)*24,"")</f>
        <v/>
      </c>
    </row>
    <row r="440">
      <c r="H440">
        <f>IF(AND(F440&lt;&gt;"",G440&lt;&gt;""),(G440-F440)*24,"")</f>
        <v/>
      </c>
    </row>
    <row r="441">
      <c r="H441">
        <f>IF(AND(F441&lt;&gt;"",G441&lt;&gt;""),(G441-F441)*24,"")</f>
        <v/>
      </c>
    </row>
    <row r="442">
      <c r="H442">
        <f>IF(AND(F442&lt;&gt;"",G442&lt;&gt;""),(G442-F442)*24,"")</f>
        <v/>
      </c>
    </row>
    <row r="443">
      <c r="H443">
        <f>IF(AND(F443&lt;&gt;"",G443&lt;&gt;""),(G443-F443)*24,"")</f>
        <v/>
      </c>
    </row>
    <row r="444">
      <c r="H444">
        <f>IF(AND(F444&lt;&gt;"",G444&lt;&gt;""),(G444-F444)*24,"")</f>
        <v/>
      </c>
    </row>
    <row r="445">
      <c r="H445">
        <f>IF(AND(F445&lt;&gt;"",G445&lt;&gt;""),(G445-F445)*24,"")</f>
        <v/>
      </c>
    </row>
    <row r="446">
      <c r="H446">
        <f>IF(AND(F446&lt;&gt;"",G446&lt;&gt;""),(G446-F446)*24,"")</f>
        <v/>
      </c>
    </row>
    <row r="447">
      <c r="H447">
        <f>IF(AND(F447&lt;&gt;"",G447&lt;&gt;""),(G447-F447)*24,"")</f>
        <v/>
      </c>
    </row>
    <row r="448">
      <c r="H448">
        <f>IF(AND(F448&lt;&gt;"",G448&lt;&gt;""),(G448-F448)*24,"")</f>
        <v/>
      </c>
    </row>
    <row r="449">
      <c r="H449">
        <f>IF(AND(F449&lt;&gt;"",G449&lt;&gt;""),(G449-F449)*24,"")</f>
        <v/>
      </c>
    </row>
    <row r="450">
      <c r="H450">
        <f>IF(AND(F450&lt;&gt;"",G450&lt;&gt;""),(G450-F450)*24,"")</f>
        <v/>
      </c>
    </row>
    <row r="451">
      <c r="H451">
        <f>IF(AND(F451&lt;&gt;"",G451&lt;&gt;""),(G451-F451)*24,"")</f>
        <v/>
      </c>
    </row>
    <row r="452">
      <c r="H452">
        <f>IF(AND(F452&lt;&gt;"",G452&lt;&gt;""),(G452-F452)*24,"")</f>
        <v/>
      </c>
    </row>
    <row r="453">
      <c r="H453">
        <f>IF(AND(F453&lt;&gt;"",G453&lt;&gt;""),(G453-F453)*24,"")</f>
        <v/>
      </c>
    </row>
    <row r="454">
      <c r="H454">
        <f>IF(AND(F454&lt;&gt;"",G454&lt;&gt;""),(G454-F454)*24,"")</f>
        <v/>
      </c>
    </row>
    <row r="455">
      <c r="H455">
        <f>IF(AND(F455&lt;&gt;"",G455&lt;&gt;""),(G455-F455)*24,"")</f>
        <v/>
      </c>
    </row>
    <row r="456">
      <c r="H456">
        <f>IF(AND(F456&lt;&gt;"",G456&lt;&gt;""),(G456-F456)*24,"")</f>
        <v/>
      </c>
    </row>
    <row r="457">
      <c r="H457">
        <f>IF(AND(F457&lt;&gt;"",G457&lt;&gt;""),(G457-F457)*24,"")</f>
        <v/>
      </c>
    </row>
    <row r="458">
      <c r="H458">
        <f>IF(AND(F458&lt;&gt;"",G458&lt;&gt;""),(G458-F458)*24,"")</f>
        <v/>
      </c>
    </row>
    <row r="459">
      <c r="H459">
        <f>IF(AND(F459&lt;&gt;"",G459&lt;&gt;""),(G459-F459)*24,"")</f>
        <v/>
      </c>
    </row>
    <row r="460">
      <c r="H460">
        <f>IF(AND(F460&lt;&gt;"",G460&lt;&gt;""),(G460-F460)*24,"")</f>
        <v/>
      </c>
    </row>
    <row r="461">
      <c r="H461">
        <f>IF(AND(F461&lt;&gt;"",G461&lt;&gt;""),(G461-F461)*24,"")</f>
        <v/>
      </c>
    </row>
    <row r="462">
      <c r="H462">
        <f>IF(AND(F462&lt;&gt;"",G462&lt;&gt;""),(G462-F462)*24,"")</f>
        <v/>
      </c>
    </row>
    <row r="463">
      <c r="H463">
        <f>IF(AND(F463&lt;&gt;"",G463&lt;&gt;""),(G463-F463)*24,"")</f>
        <v/>
      </c>
    </row>
    <row r="464">
      <c r="H464">
        <f>IF(AND(F464&lt;&gt;"",G464&lt;&gt;""),(G464-F464)*24,"")</f>
        <v/>
      </c>
    </row>
    <row r="465">
      <c r="H465">
        <f>IF(AND(F465&lt;&gt;"",G465&lt;&gt;""),(G465-F465)*24,"")</f>
        <v/>
      </c>
    </row>
    <row r="466">
      <c r="H466">
        <f>IF(AND(F466&lt;&gt;"",G466&lt;&gt;""),(G466-F466)*24,"")</f>
        <v/>
      </c>
    </row>
    <row r="467">
      <c r="H467">
        <f>IF(AND(F467&lt;&gt;"",G467&lt;&gt;""),(G467-F467)*24,"")</f>
        <v/>
      </c>
    </row>
    <row r="468">
      <c r="H468">
        <f>IF(AND(F468&lt;&gt;"",G468&lt;&gt;""),(G468-F468)*24,"")</f>
        <v/>
      </c>
    </row>
    <row r="469">
      <c r="H469">
        <f>IF(AND(F469&lt;&gt;"",G469&lt;&gt;""),(G469-F469)*24,"")</f>
        <v/>
      </c>
    </row>
    <row r="470">
      <c r="H470">
        <f>IF(AND(F470&lt;&gt;"",G470&lt;&gt;""),(G470-F470)*24,"")</f>
        <v/>
      </c>
    </row>
    <row r="471">
      <c r="H471">
        <f>IF(AND(F471&lt;&gt;"",G471&lt;&gt;""),(G471-F471)*24,"")</f>
        <v/>
      </c>
    </row>
    <row r="472">
      <c r="H472">
        <f>IF(AND(F472&lt;&gt;"",G472&lt;&gt;""),(G472-F472)*24,"")</f>
        <v/>
      </c>
    </row>
    <row r="473">
      <c r="H473">
        <f>IF(AND(F473&lt;&gt;"",G473&lt;&gt;""),(G473-F473)*24,"")</f>
        <v/>
      </c>
    </row>
    <row r="474">
      <c r="H474">
        <f>IF(AND(F474&lt;&gt;"",G474&lt;&gt;""),(G474-F474)*24,"")</f>
        <v/>
      </c>
    </row>
    <row r="475">
      <c r="H475">
        <f>IF(AND(F475&lt;&gt;"",G475&lt;&gt;""),(G475-F475)*24,"")</f>
        <v/>
      </c>
    </row>
    <row r="476">
      <c r="H476">
        <f>IF(AND(F476&lt;&gt;"",G476&lt;&gt;""),(G476-F476)*24,"")</f>
        <v/>
      </c>
    </row>
    <row r="477">
      <c r="H477">
        <f>IF(AND(F477&lt;&gt;"",G477&lt;&gt;""),(G477-F477)*24,"")</f>
        <v/>
      </c>
    </row>
    <row r="478">
      <c r="H478">
        <f>IF(AND(F478&lt;&gt;"",G478&lt;&gt;""),(G478-F478)*24,"")</f>
        <v/>
      </c>
    </row>
    <row r="479">
      <c r="H479">
        <f>IF(AND(F479&lt;&gt;"",G479&lt;&gt;""),(G479-F479)*24,"")</f>
        <v/>
      </c>
    </row>
    <row r="480">
      <c r="H480">
        <f>IF(AND(F480&lt;&gt;"",G480&lt;&gt;""),(G480-F480)*24,"")</f>
        <v/>
      </c>
    </row>
    <row r="481">
      <c r="H481">
        <f>IF(AND(F481&lt;&gt;"",G481&lt;&gt;""),(G481-F481)*24,"")</f>
        <v/>
      </c>
    </row>
    <row r="482">
      <c r="H482">
        <f>IF(AND(F482&lt;&gt;"",G482&lt;&gt;""),(G482-F482)*24,"")</f>
        <v/>
      </c>
    </row>
    <row r="483">
      <c r="H483">
        <f>IF(AND(F483&lt;&gt;"",G483&lt;&gt;""),(G483-F483)*24,"")</f>
        <v/>
      </c>
    </row>
    <row r="484">
      <c r="H484">
        <f>IF(AND(F484&lt;&gt;"",G484&lt;&gt;""),(G484-F484)*24,"")</f>
        <v/>
      </c>
    </row>
    <row r="485">
      <c r="H485">
        <f>IF(AND(F485&lt;&gt;"",G485&lt;&gt;""),(G485-F485)*24,"")</f>
        <v/>
      </c>
    </row>
    <row r="486">
      <c r="H486">
        <f>IF(AND(F486&lt;&gt;"",G486&lt;&gt;""),(G486-F486)*24,"")</f>
        <v/>
      </c>
    </row>
    <row r="487">
      <c r="H487">
        <f>IF(AND(F487&lt;&gt;"",G487&lt;&gt;""),(G487-F487)*24,"")</f>
        <v/>
      </c>
    </row>
    <row r="488">
      <c r="H488">
        <f>IF(AND(F488&lt;&gt;"",G488&lt;&gt;""),(G488-F488)*24,"")</f>
        <v/>
      </c>
    </row>
    <row r="489">
      <c r="H489">
        <f>IF(AND(F489&lt;&gt;"",G489&lt;&gt;""),(G489-F489)*24,"")</f>
        <v/>
      </c>
    </row>
    <row r="490">
      <c r="H490">
        <f>IF(AND(F490&lt;&gt;"",G490&lt;&gt;""),(G490-F490)*24,"")</f>
        <v/>
      </c>
    </row>
    <row r="491">
      <c r="H491">
        <f>IF(AND(F491&lt;&gt;"",G491&lt;&gt;""),(G491-F491)*24,"")</f>
        <v/>
      </c>
    </row>
    <row r="492">
      <c r="H492">
        <f>IF(AND(F492&lt;&gt;"",G492&lt;&gt;""),(G492-F492)*24,"")</f>
        <v/>
      </c>
    </row>
    <row r="493">
      <c r="H493">
        <f>IF(AND(F493&lt;&gt;"",G493&lt;&gt;""),(G493-F493)*24,"")</f>
        <v/>
      </c>
    </row>
    <row r="494">
      <c r="H494">
        <f>IF(AND(F494&lt;&gt;"",G494&lt;&gt;""),(G494-F494)*24,"")</f>
        <v/>
      </c>
    </row>
    <row r="495">
      <c r="H495">
        <f>IF(AND(F495&lt;&gt;"",G495&lt;&gt;""),(G495-F495)*24,"")</f>
        <v/>
      </c>
    </row>
    <row r="496">
      <c r="H496">
        <f>IF(AND(F496&lt;&gt;"",G496&lt;&gt;""),(G496-F496)*24,"")</f>
        <v/>
      </c>
    </row>
    <row r="497">
      <c r="H497">
        <f>IF(AND(F497&lt;&gt;"",G497&lt;&gt;""),(G497-F497)*24,"")</f>
        <v/>
      </c>
    </row>
    <row r="498">
      <c r="H498">
        <f>IF(AND(F498&lt;&gt;"",G498&lt;&gt;""),(G498-F498)*24,"")</f>
        <v/>
      </c>
    </row>
    <row r="499">
      <c r="H499">
        <f>IF(AND(F499&lt;&gt;"",G499&lt;&gt;""),(G499-F499)*24,"")</f>
        <v/>
      </c>
    </row>
    <row r="500">
      <c r="H500">
        <f>IF(AND(F500&lt;&gt;"",G500&lt;&gt;""),(G500-F500)*24,"")</f>
        <v/>
      </c>
    </row>
  </sheetData>
  <autoFilter ref="A1:K1"/>
  <conditionalFormatting sqref="J2:J500">
    <cfRule type="expression" priority="1" dxfId="0">
      <formula>EXACT($J2,"Concluído")</formula>
    </cfRule>
    <cfRule type="expression" priority="2" dxfId="1">
      <formula>EXACT($J2,"Bloqueado")</formula>
    </cfRule>
  </conditionalFormatting>
  <dataValidations count="3">
    <dataValidation sqref="I2:I500" showDropDown="0" showInputMessage="0" showErrorMessage="0" allowBlank="1" type="list">
      <formula1>=Listas!$A$2:$A$9</formula1>
    </dataValidation>
    <dataValidation sqref="J2:J500" showDropDown="0" showInputMessage="0" showErrorMessage="0" allowBlank="1" type="list">
      <formula1>=Listas!$B$2:$B$4</formula1>
    </dataValidation>
    <dataValidation sqref="B2:B500" showDropDown="0" showInputMessage="0" showErrorMessage="0" allowBlank="1" type="list">
      <formula1>=Listas!$C$2:$C$4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4" max="4"/>
    <col width="12" customWidth="1" min="5" max="5"/>
    <col width="18" customWidth="1" min="7" max="7"/>
    <col width="12" customWidth="1" min="8" max="8"/>
  </cols>
  <sheetData>
    <row r="1">
      <c r="A1" s="2" t="inlineStr">
        <is>
          <t>Consolidado de Tempo</t>
        </is>
      </c>
    </row>
    <row r="3">
      <c r="A3" s="3" t="inlineStr">
        <is>
          <t>Total de Horas por Projeto</t>
        </is>
      </c>
      <c r="D3" s="3" t="inlineStr">
        <is>
          <t>Total por Pessoa</t>
        </is>
      </c>
      <c r="G3" s="3" t="inlineStr">
        <is>
          <t>Total por Sprint</t>
        </is>
      </c>
    </row>
    <row r="4">
      <c r="A4" s="4" t="inlineStr">
        <is>
          <t>Projeto</t>
        </is>
      </c>
      <c r="B4" s="4" t="inlineStr">
        <is>
          <t>Horas</t>
        </is>
      </c>
      <c r="D4" s="4" t="inlineStr">
        <is>
          <t>Responsável</t>
        </is>
      </c>
      <c r="E4" s="4" t="inlineStr">
        <is>
          <t>Horas</t>
        </is>
      </c>
      <c r="G4" s="4" t="inlineStr">
        <is>
          <t>Sprint</t>
        </is>
      </c>
      <c r="H4" s="4" t="inlineStr">
        <is>
          <t>Horas</t>
        </is>
      </c>
    </row>
    <row r="5">
      <c r="A5" t="inlineStr">
        <is>
          <t>Projeto A</t>
        </is>
      </c>
      <c r="B5">
        <f>SUMIF(Apontamentos!B2:B500,$A5,Apontamentos!H2:H500)</f>
        <v/>
      </c>
      <c r="E5">
        <f>IF($D5="","",SUMIF(Apontamentos!D2:D500,$D5,Apontamentos!H2:H500))</f>
        <v/>
      </c>
    </row>
    <row r="6">
      <c r="A6" t="inlineStr">
        <is>
          <t>Projeto B</t>
        </is>
      </c>
      <c r="B6">
        <f>SUMIF(Apontamentos!B2:B500,$A6,Apontamentos!H2:H500)</f>
        <v/>
      </c>
      <c r="E6">
        <f>IF($D6="","",SUMIF(Apontamentos!D2:D500,$D6,Apontamentos!H2:H500))</f>
        <v/>
      </c>
    </row>
    <row r="7">
      <c r="A7" t="inlineStr">
        <is>
          <t>Projeto C</t>
        </is>
      </c>
      <c r="B7">
        <f>SUMIF(Apontamentos!B2:B500,$A7,Apontamentos!H2:H500)</f>
        <v/>
      </c>
      <c r="E7">
        <f>IF($D7="","",SUMIF(Apontamentos!D2:D500,$D7,Apontamentos!H2:H500))</f>
        <v/>
      </c>
    </row>
    <row r="8">
      <c r="E8">
        <f>IF($D8="","",SUMIF(Apontamentos!D2:D500,$D8,Apontamentos!H2:H500))</f>
        <v/>
      </c>
    </row>
    <row r="9">
      <c r="E9">
        <f>IF($D9="","",SUMIF(Apontamentos!D2:D500,$D9,Apontamentos!H2:H500))</f>
        <v/>
      </c>
    </row>
    <row r="10">
      <c r="E10">
        <f>IF($D10="","",SUMIF(Apontamentos!D2:D500,$D10,Apontamentos!H2:H500))</f>
        <v/>
      </c>
    </row>
    <row r="11">
      <c r="E11">
        <f>IF($D11="","",SUMIF(Apontamentos!D2:D500,$D11,Apontamentos!H2:H500))</f>
        <v/>
      </c>
    </row>
    <row r="12">
      <c r="E12">
        <f>IF($D12="","",SUMIF(Apontamentos!D2:D500,$D12,Apontamentos!H2:H500))</f>
        <v/>
      </c>
    </row>
    <row r="13">
      <c r="E13">
        <f>IF($D13="","",SUMIF(Apontamentos!D2:D500,$D13,Apontamentos!H2:H500))</f>
        <v/>
      </c>
    </row>
    <row r="14">
      <c r="E14">
        <f>IF($D14="","",SUMIF(Apontamentos!D2:D500,$D14,Apontamentos!H2:H500))</f>
        <v/>
      </c>
    </row>
    <row r="15">
      <c r="E15">
        <f>IF($D15="","",SUMIF(Apontamentos!D2:D500,$D15,Apontamentos!H2:H500))</f>
        <v/>
      </c>
    </row>
    <row r="16">
      <c r="E16">
        <f>IF($D16="","",SUMIF(Apontamentos!D2:D500,$D16,Apontamentos!H2:H500))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2" customWidth="1" min="4" max="4"/>
    <col width="12" customWidth="1" min="5" max="5"/>
    <col width="14" customWidth="1" min="8" max="8"/>
    <col width="12" customWidth="1" min="9" max="9"/>
  </cols>
  <sheetData>
    <row r="1">
      <c r="A1" s="2" t="inlineStr">
        <is>
          <t>Análises de Tempo</t>
        </is>
      </c>
    </row>
    <row r="2">
      <c r="A2" s="3" t="inlineStr">
        <is>
          <t>Indicadores (KPIs)</t>
        </is>
      </c>
      <c r="D2" s="3" t="inlineStr">
        <is>
          <t>Distribuição de Esforço por Tipo</t>
        </is>
      </c>
      <c r="H2" s="3" t="inlineStr">
        <is>
          <t>Evolução Temporal das Horas</t>
        </is>
      </c>
    </row>
    <row r="3">
      <c r="A3" s="4" t="inlineStr">
        <is>
          <t>Total de Horas</t>
        </is>
      </c>
      <c r="B3">
        <f>SUM(Apontamentos!H2:H500)</f>
        <v/>
      </c>
      <c r="D3" s="4" t="inlineStr">
        <is>
          <t>Tipo de Atividade</t>
        </is>
      </c>
      <c r="E3" s="4" t="inlineStr">
        <is>
          <t>Horas</t>
        </is>
      </c>
      <c r="H3" s="4" t="inlineStr">
        <is>
          <t>Mês</t>
        </is>
      </c>
      <c r="I3" s="4" t="inlineStr">
        <is>
          <t>Horas</t>
        </is>
      </c>
    </row>
    <row r="4">
      <c r="A4" s="4" t="inlineStr">
        <is>
          <t>Total de Apontamentos</t>
        </is>
      </c>
      <c r="B4">
        <f>COUNTA(Apontamentos!A2:A500)</f>
        <v/>
      </c>
      <c r="D4" t="inlineStr">
        <is>
          <t>Desenvolvimento</t>
        </is>
      </c>
      <c r="E4">
        <f>SUMIF(Apontamentos!I2:I500,$D4,Apontamentos!H2:H500)</f>
        <v/>
      </c>
      <c r="H4" t="inlineStr">
        <is>
          <t>2026-01</t>
        </is>
      </c>
      <c r="I4">
        <f>SUMIFS(Apontamentos!$H$2:$H$500,Apontamentos!$E$2:$E$500,"&gt;="&amp;DATE(2026,1,1),Apontamentos!$E$2:$E$500,"&lt;="&amp;DATE(2026,1,DAY(EOMONTH(DATE(2026,1,1),0))))</f>
        <v/>
      </c>
    </row>
    <row r="5">
      <c r="A5" s="4" t="inlineStr">
        <is>
          <t>Duração Média (h)</t>
        </is>
      </c>
      <c r="B5">
        <f>IFERROR(AVERAGE(Apontamentos!H2:H500),"")</f>
        <v/>
      </c>
      <c r="D5" t="inlineStr">
        <is>
          <t>Teste</t>
        </is>
      </c>
      <c r="E5">
        <f>SUMIF(Apontamentos!I2:I500,$D5,Apontamentos!H2:H500)</f>
        <v/>
      </c>
      <c r="H5" t="inlineStr">
        <is>
          <t>2026-02</t>
        </is>
      </c>
      <c r="I5">
        <f>SUMIFS(Apontamentos!$H$2:$H$500,Apontamentos!$E$2:$E$500,"&gt;="&amp;DATE(2026,2,1),Apontamentos!$E$2:$E$500,"&lt;="&amp;DATE(2026,2,DAY(EOMONTH(DATE(2026,2,1),0))))</f>
        <v/>
      </c>
    </row>
    <row r="6">
      <c r="A6" s="4" t="inlineStr">
        <is>
          <t>Horas Concluídas</t>
        </is>
      </c>
      <c r="B6">
        <f>SUMIF(Apontamentos!J2:J500,"Concluído",Apontamentos!H2:H500)</f>
        <v/>
      </c>
      <c r="D6" t="inlineStr">
        <is>
          <t>Reunião</t>
        </is>
      </c>
      <c r="E6">
        <f>SUMIF(Apontamentos!I2:I500,$D6,Apontamentos!H2:H500)</f>
        <v/>
      </c>
      <c r="H6" t="inlineStr">
        <is>
          <t>2026-03</t>
        </is>
      </c>
      <c r="I6">
        <f>SUMIFS(Apontamentos!$H$2:$H$500,Apontamentos!$E$2:$E$500,"&gt;="&amp;DATE(2026,3,1),Apontamentos!$E$2:$E$500,"&lt;="&amp;DATE(2026,3,DAY(EOMONTH(DATE(2026,3,1),0))))</f>
        <v/>
      </c>
    </row>
    <row r="7">
      <c r="A7" s="4" t="inlineStr">
        <is>
          <t>% Concluído</t>
        </is>
      </c>
      <c r="B7">
        <f>IFERROR(B6/B3*100,"")</f>
        <v/>
      </c>
      <c r="D7" t="inlineStr">
        <is>
          <t>Suporte</t>
        </is>
      </c>
      <c r="E7">
        <f>SUMIF(Apontamentos!I2:I500,$D7,Apontamentos!H2:H500)</f>
        <v/>
      </c>
      <c r="H7" t="inlineStr">
        <is>
          <t>2026-04</t>
        </is>
      </c>
      <c r="I7">
        <f>SUMIFS(Apontamentos!$H$2:$H$500,Apontamentos!$E$2:$E$500,"&gt;="&amp;DATE(2026,4,1),Apontamentos!$E$2:$E$500,"&lt;="&amp;DATE(2026,4,DAY(EOMONTH(DATE(2026,4,1),0))))</f>
        <v/>
      </c>
    </row>
    <row r="8">
      <c r="D8" t="inlineStr">
        <is>
          <t>Análise</t>
        </is>
      </c>
      <c r="E8">
        <f>SUMIF(Apontamentos!I2:I500,$D8,Apontamentos!H2:H500)</f>
        <v/>
      </c>
      <c r="H8" t="inlineStr">
        <is>
          <t>2026-05</t>
        </is>
      </c>
      <c r="I8">
        <f>SUMIFS(Apontamentos!$H$2:$H$500,Apontamentos!$E$2:$E$500,"&gt;="&amp;DATE(2026,5,1),Apontamentos!$E$2:$E$500,"&lt;="&amp;DATE(2026,5,DAY(EOMONTH(DATE(2026,5,1),0))))</f>
        <v/>
      </c>
    </row>
    <row r="9">
      <c r="D9" t="inlineStr">
        <is>
          <t>Documentação</t>
        </is>
      </c>
      <c r="E9">
        <f>SUMIF(Apontamentos!I2:I500,$D9,Apontamentos!H2:H500)</f>
        <v/>
      </c>
      <c r="H9" t="inlineStr">
        <is>
          <t>2026-06</t>
        </is>
      </c>
      <c r="I9">
        <f>SUMIFS(Apontamentos!$H$2:$H$500,Apontamentos!$E$2:$E$500,"&gt;="&amp;DATE(2026,6,1),Apontamentos!$E$2:$E$500,"&lt;="&amp;DATE(2026,6,DAY(EOMONTH(DATE(2026,6,1),0))))</f>
        <v/>
      </c>
    </row>
    <row r="10">
      <c r="D10" t="inlineStr">
        <is>
          <t>Integração</t>
        </is>
      </c>
      <c r="E10">
        <f>SUMIF(Apontamentos!I2:I500,$D10,Apontamentos!H2:H500)</f>
        <v/>
      </c>
      <c r="H10" t="inlineStr">
        <is>
          <t>2026-07</t>
        </is>
      </c>
      <c r="I10">
        <f>SUMIFS(Apontamentos!$H$2:$H$500,Apontamentos!$E$2:$E$500,"&gt;="&amp;DATE(2026,7,1),Apontamentos!$E$2:$E$500,"&lt;="&amp;DATE(2026,7,DAY(EOMONTH(DATE(2026,7,1),0))))</f>
        <v/>
      </c>
    </row>
    <row r="11">
      <c r="D11" t="inlineStr">
        <is>
          <t>Correção</t>
        </is>
      </c>
      <c r="E11">
        <f>SUMIF(Apontamentos!I2:I500,$D11,Apontamentos!H2:H500)</f>
        <v/>
      </c>
      <c r="H11" t="inlineStr">
        <is>
          <t>2026-08</t>
        </is>
      </c>
      <c r="I11">
        <f>SUMIFS(Apontamentos!$H$2:$H$500,Apontamentos!$E$2:$E$500,"&gt;="&amp;DATE(2026,8,1),Apontamentos!$E$2:$E$500,"&lt;="&amp;DATE(2026,8,DAY(EOMONTH(DATE(2026,8,1),0))))</f>
        <v/>
      </c>
    </row>
    <row r="12">
      <c r="H12" t="inlineStr">
        <is>
          <t>2026-09</t>
        </is>
      </c>
      <c r="I12">
        <f>SUMIFS(Apontamentos!$H$2:$H$500,Apontamentos!$E$2:$E$500,"&gt;="&amp;DATE(2026,9,1),Apontamentos!$E$2:$E$500,"&lt;="&amp;DATE(2026,9,DAY(EOMONTH(DATE(2026,9,1),0))))</f>
        <v/>
      </c>
    </row>
    <row r="13">
      <c r="H13" t="inlineStr">
        <is>
          <t>2026-10</t>
        </is>
      </c>
      <c r="I13">
        <f>SUMIFS(Apontamentos!$H$2:$H$500,Apontamentos!$E$2:$E$500,"&gt;="&amp;DATE(2026,10,1),Apontamentos!$E$2:$E$500,"&lt;="&amp;DATE(2026,10,DAY(EOMONTH(DATE(2026,10,1),0))))</f>
        <v/>
      </c>
    </row>
    <row r="14">
      <c r="H14" t="inlineStr">
        <is>
          <t>2026-11</t>
        </is>
      </c>
      <c r="I14">
        <f>SUMIFS(Apontamentos!$H$2:$H$500,Apontamentos!$E$2:$E$500,"&gt;="&amp;DATE(2026,11,1),Apontamentos!$E$2:$E$500,"&lt;="&amp;DATE(2026,11,DAY(EOMONTH(DATE(2026,11,1),0))))</f>
        <v/>
      </c>
    </row>
    <row r="15">
      <c r="H15" t="inlineStr">
        <is>
          <t>2026-12</t>
        </is>
      </c>
      <c r="I15">
        <f>SUMIFS(Apontamentos!$H$2:$H$500,Apontamentos!$E$2:$E$500,"&gt;="&amp;DATE(2026,12,1),Apontamentos!$E$2:$E$500,"&lt;="&amp;DATE(2026,12,DAY(EOMONTH(DATE(2026,12,1),0))))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5" t="inlineStr">
        <is>
          <t>Painel de Tempo</t>
        </is>
      </c>
    </row>
    <row r="3">
      <c r="A3" s="3" t="inlineStr">
        <is>
          <t>Indicadores (KPIs)</t>
        </is>
      </c>
    </row>
    <row r="4">
      <c r="A4" s="4" t="inlineStr">
        <is>
          <t>Total de Horas</t>
        </is>
      </c>
      <c r="B4">
        <f>Analises!B3</f>
        <v/>
      </c>
    </row>
    <row r="5">
      <c r="A5" s="4" t="inlineStr">
        <is>
          <t>Duração Média (h)</t>
        </is>
      </c>
      <c r="B5">
        <f>Analises!B5</f>
        <v/>
      </c>
    </row>
    <row r="6">
      <c r="A6" s="4" t="inlineStr">
        <is>
          <t>% Concluído</t>
        </is>
      </c>
      <c r="B6">
        <f>Analises!B7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6" t="inlineStr">
        <is>
          <t>Tipo de Atividade</t>
        </is>
      </c>
      <c r="B1" s="6" t="inlineStr">
        <is>
          <t>Status</t>
        </is>
      </c>
      <c r="C1" s="6" t="inlineStr">
        <is>
          <t>Projetos</t>
        </is>
      </c>
    </row>
    <row r="2">
      <c r="A2" t="inlineStr">
        <is>
          <t>Desenvolvimento</t>
        </is>
      </c>
      <c r="B2" t="inlineStr">
        <is>
          <t>Concluído</t>
        </is>
      </c>
      <c r="C2" t="inlineStr">
        <is>
          <t>Projeto A</t>
        </is>
      </c>
    </row>
    <row r="3">
      <c r="A3" t="inlineStr">
        <is>
          <t>Teste</t>
        </is>
      </c>
      <c r="B3" t="inlineStr">
        <is>
          <t>Em andamento</t>
        </is>
      </c>
      <c r="C3" t="inlineStr">
        <is>
          <t>Projeto B</t>
        </is>
      </c>
    </row>
    <row r="4">
      <c r="A4" t="inlineStr">
        <is>
          <t>Reunião</t>
        </is>
      </c>
      <c r="B4" t="inlineStr">
        <is>
          <t>Bloqueado</t>
        </is>
      </c>
      <c r="C4" t="inlineStr">
        <is>
          <t>Projeto C</t>
        </is>
      </c>
    </row>
    <row r="5">
      <c r="A5" t="inlineStr">
        <is>
          <t>Suporte</t>
        </is>
      </c>
    </row>
    <row r="6">
      <c r="A6" t="inlineStr">
        <is>
          <t>Análise</t>
        </is>
      </c>
    </row>
    <row r="7">
      <c r="A7" t="inlineStr">
        <is>
          <t>Documentação</t>
        </is>
      </c>
    </row>
    <row r="8">
      <c r="A8" t="inlineStr">
        <is>
          <t>Integração</t>
        </is>
      </c>
    </row>
    <row r="9">
      <c r="A9" t="inlineStr">
        <is>
          <t>Correção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2026-06-06T17:29:30Z</dcterms:created>
  <dcterms:modified xsi:type="dcterms:W3CDTF">2026-06-06T17:29:30Z</dcterms:modified>
</cp:coreProperties>
</file>