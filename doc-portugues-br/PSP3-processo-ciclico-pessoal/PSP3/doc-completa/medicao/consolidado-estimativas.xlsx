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vas" sheetId="1" state="visible" r:id="rId1"/>
    <sheet name="Planejado_vs_Realizad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'Estimativas'!$A$1:$V$1</definedName>
    <definedName name="_xlnm._FilterDatabase" localSheetId="1" hidden="1">'Planejado_vs_Realizado'!$A$1:$K$1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4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Planejado vs Realizado por Entrega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'Planejado_vs_Realizado'!C1</f>
            </strRef>
          </tx>
          <spPr>
            <a:ln>
              <a:prstDash val="solid"/>
            </a:ln>
          </spPr>
          <cat>
            <numRef>
              <f>'Planejado_vs_Realizado'!$B$2:$B$16</f>
            </numRef>
          </cat>
          <val>
            <numRef>
              <f>'Planejado_vs_Realizado'!$C$2:$C$16</f>
            </numRef>
          </val>
        </ser>
        <ser>
          <idx val="1"/>
          <order val="1"/>
          <tx>
            <strRef>
              <f>'Planejado_vs_Realizado'!E1</f>
            </strRef>
          </tx>
          <spPr>
            <a:ln>
              <a:prstDash val="solid"/>
            </a:ln>
          </spPr>
          <cat>
            <numRef>
              <f>'Planejado_vs_Realizado'!$B$2:$B$16</f>
            </numRef>
          </cat>
          <val>
            <numRef>
              <f>'Planejado_vs_Realizado'!$E$2:$E$16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Técnicas de Estimativa</a:t>
            </a:r>
          </a:p>
        </rich>
      </tx>
    </title>
    <plotArea>
      <pieChart>
        <varyColors val="1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numRef>
              <f>'Analises'!$D$4:$D$11</f>
            </numRef>
          </cat>
          <val>
            <numRef>
              <f>'Analises'!$E$4:$E$11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Estimativas por Complexidade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'Analises'!E14</f>
            </strRef>
          </tx>
          <spPr>
            <a:ln>
              <a:prstDash val="solid"/>
            </a:ln>
          </spPr>
          <cat>
            <numRef>
              <f>'Analises'!$D$15:$D$18</f>
            </numRef>
          </cat>
          <val>
            <numRef>
              <f>'Analises'!$E$15:$E$18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Mensal do Desvio % Médio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Desvio Médio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'Analises'!H3</f>
            </strRef>
          </tx>
          <spPr>
            <a:ln>
              <a:prstDash val="solid"/>
            </a:ln>
          </spPr>
          <cat>
            <numRef>
              <f>'Analises'!$G$4:$G$13</f>
            </numRef>
          </cat>
          <val>
            <numRef>
              <f>'Analises'!$H$4:$H$13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54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26" customWidth="1" min="6" max="6"/>
    <col width="29" customWidth="1" min="7" max="7"/>
    <col width="23" customWidth="1" min="8" max="8"/>
    <col width="20" customWidth="1" min="9" max="9"/>
    <col width="14" customWidth="1" min="10" max="10"/>
    <col width="18" customWidth="1" min="11" max="11"/>
    <col width="19" customWidth="1" min="12" max="12"/>
    <col width="16" customWidth="1" min="13" max="13"/>
    <col width="23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28" customWidth="1" min="20" max="20"/>
    <col width="14" customWidth="1" min="21" max="21"/>
    <col width="14" customWidth="1" min="22" max="22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Release</t>
        </is>
      </c>
      <c r="D1" s="1" t="inlineStr">
        <is>
          <t>Sprint / Iteração</t>
        </is>
      </c>
      <c r="E1" s="1" t="inlineStr">
        <is>
          <t>Épico</t>
        </is>
      </c>
      <c r="F1" s="1" t="inlineStr">
        <is>
          <t>Funcionalidade / Entrega</t>
        </is>
      </c>
      <c r="G1" s="1" t="inlineStr">
        <is>
          <t>Responsável pela Estimativa</t>
        </is>
      </c>
      <c r="H1" s="1" t="inlineStr">
        <is>
          <t>Técnica de Estimativa</t>
        </is>
      </c>
      <c r="I1" s="1" t="inlineStr">
        <is>
          <t>Data da Estimativa</t>
        </is>
      </c>
      <c r="J1" s="1" t="inlineStr">
        <is>
          <t>Complexidade</t>
        </is>
      </c>
      <c r="K1" s="1" t="inlineStr">
        <is>
          <t>Tamanho Estimado</t>
        </is>
      </c>
      <c r="L1" s="1" t="inlineStr">
        <is>
          <t>Unidade de Medida</t>
        </is>
      </c>
      <c r="M1" s="1" t="inlineStr">
        <is>
          <t>Melhor Cenário</t>
        </is>
      </c>
      <c r="N1" s="1" t="inlineStr">
        <is>
          <t>Cenário Mais Provável</t>
        </is>
      </c>
      <c r="O1" s="1" t="inlineStr">
        <is>
          <t>Pior Cenário</t>
        </is>
      </c>
      <c r="P1" s="1" t="inlineStr">
        <is>
          <t>Estimativa Final</t>
        </is>
      </c>
      <c r="Q1" s="1" t="inlineStr">
        <is>
          <t>Premissas</t>
        </is>
      </c>
      <c r="R1" s="1" t="inlineStr">
        <is>
          <t>Restrições</t>
        </is>
      </c>
      <c r="S1" s="1" t="inlineStr">
        <is>
          <t>Dependências</t>
        </is>
      </c>
      <c r="T1" s="1" t="inlineStr">
        <is>
          <t>Responsável pela Aprovação</t>
        </is>
      </c>
      <c r="U1" s="1" t="inlineStr">
        <is>
          <t>Status</t>
        </is>
      </c>
      <c r="V1" s="1" t="inlineStr">
        <is>
          <t>Observações</t>
        </is>
      </c>
    </row>
    <row r="2">
      <c r="P2">
        <f>IF(AND(M2&lt;&gt;"",N2&lt;&gt;"",O2&lt;&gt;""),(M2+4*N2+O2)/6,"")</f>
        <v/>
      </c>
    </row>
    <row r="3">
      <c r="P3">
        <f>IF(AND(M3&lt;&gt;"",N3&lt;&gt;"",O3&lt;&gt;""),(M3+4*N3+O3)/6,"")</f>
        <v/>
      </c>
    </row>
    <row r="4">
      <c r="P4">
        <f>IF(AND(M4&lt;&gt;"",N4&lt;&gt;"",O4&lt;&gt;""),(M4+4*N4+O4)/6,"")</f>
        <v/>
      </c>
    </row>
    <row r="5">
      <c r="P5">
        <f>IF(AND(M5&lt;&gt;"",N5&lt;&gt;"",O5&lt;&gt;""),(M5+4*N5+O5)/6,"")</f>
        <v/>
      </c>
    </row>
    <row r="6">
      <c r="P6">
        <f>IF(AND(M6&lt;&gt;"",N6&lt;&gt;"",O6&lt;&gt;""),(M6+4*N6+O6)/6,"")</f>
        <v/>
      </c>
    </row>
    <row r="7">
      <c r="P7">
        <f>IF(AND(M7&lt;&gt;"",N7&lt;&gt;"",O7&lt;&gt;""),(M7+4*N7+O7)/6,"")</f>
        <v/>
      </c>
    </row>
    <row r="8">
      <c r="P8">
        <f>IF(AND(M8&lt;&gt;"",N8&lt;&gt;"",O8&lt;&gt;""),(M8+4*N8+O8)/6,"")</f>
        <v/>
      </c>
    </row>
    <row r="9">
      <c r="P9">
        <f>IF(AND(M9&lt;&gt;"",N9&lt;&gt;"",O9&lt;&gt;""),(M9+4*N9+O9)/6,"")</f>
        <v/>
      </c>
    </row>
    <row r="10">
      <c r="P10">
        <f>IF(AND(M10&lt;&gt;"",N10&lt;&gt;"",O10&lt;&gt;""),(M10+4*N10+O10)/6,"")</f>
        <v/>
      </c>
    </row>
    <row r="11">
      <c r="P11">
        <f>IF(AND(M11&lt;&gt;"",N11&lt;&gt;"",O11&lt;&gt;""),(M11+4*N11+O11)/6,"")</f>
        <v/>
      </c>
    </row>
    <row r="12">
      <c r="P12">
        <f>IF(AND(M12&lt;&gt;"",N12&lt;&gt;"",O12&lt;&gt;""),(M12+4*N12+O12)/6,"")</f>
        <v/>
      </c>
    </row>
    <row r="13">
      <c r="P13">
        <f>IF(AND(M13&lt;&gt;"",N13&lt;&gt;"",O13&lt;&gt;""),(M13+4*N13+O13)/6,"")</f>
        <v/>
      </c>
    </row>
    <row r="14">
      <c r="P14">
        <f>IF(AND(M14&lt;&gt;"",N14&lt;&gt;"",O14&lt;&gt;""),(M14+4*N14+O14)/6,"")</f>
        <v/>
      </c>
    </row>
    <row r="15">
      <c r="P15">
        <f>IF(AND(M15&lt;&gt;"",N15&lt;&gt;"",O15&lt;&gt;""),(M15+4*N15+O15)/6,"")</f>
        <v/>
      </c>
    </row>
    <row r="16">
      <c r="P16">
        <f>IF(AND(M16&lt;&gt;"",N16&lt;&gt;"",O16&lt;&gt;""),(M16+4*N16+O16)/6,"")</f>
        <v/>
      </c>
    </row>
    <row r="17">
      <c r="P17">
        <f>IF(AND(M17&lt;&gt;"",N17&lt;&gt;"",O17&lt;&gt;""),(M17+4*N17+O17)/6,"")</f>
        <v/>
      </c>
    </row>
    <row r="18">
      <c r="P18">
        <f>IF(AND(M18&lt;&gt;"",N18&lt;&gt;"",O18&lt;&gt;""),(M18+4*N18+O18)/6,"")</f>
        <v/>
      </c>
    </row>
    <row r="19">
      <c r="P19">
        <f>IF(AND(M19&lt;&gt;"",N19&lt;&gt;"",O19&lt;&gt;""),(M19+4*N19+O19)/6,"")</f>
        <v/>
      </c>
    </row>
    <row r="20">
      <c r="P20">
        <f>IF(AND(M20&lt;&gt;"",N20&lt;&gt;"",O20&lt;&gt;""),(M20+4*N20+O20)/6,"")</f>
        <v/>
      </c>
    </row>
    <row r="21">
      <c r="P21">
        <f>IF(AND(M21&lt;&gt;"",N21&lt;&gt;"",O21&lt;&gt;""),(M21+4*N21+O21)/6,"")</f>
        <v/>
      </c>
    </row>
    <row r="22">
      <c r="P22">
        <f>IF(AND(M22&lt;&gt;"",N22&lt;&gt;"",O22&lt;&gt;""),(M22+4*N22+O22)/6,"")</f>
        <v/>
      </c>
    </row>
    <row r="23">
      <c r="P23">
        <f>IF(AND(M23&lt;&gt;"",N23&lt;&gt;"",O23&lt;&gt;""),(M23+4*N23+O23)/6,"")</f>
        <v/>
      </c>
    </row>
    <row r="24">
      <c r="P24">
        <f>IF(AND(M24&lt;&gt;"",N24&lt;&gt;"",O24&lt;&gt;""),(M24+4*N24+O24)/6,"")</f>
        <v/>
      </c>
    </row>
    <row r="25">
      <c r="P25">
        <f>IF(AND(M25&lt;&gt;"",N25&lt;&gt;"",O25&lt;&gt;""),(M25+4*N25+O25)/6,"")</f>
        <v/>
      </c>
    </row>
    <row r="26">
      <c r="P26">
        <f>IF(AND(M26&lt;&gt;"",N26&lt;&gt;"",O26&lt;&gt;""),(M26+4*N26+O26)/6,"")</f>
        <v/>
      </c>
    </row>
    <row r="27">
      <c r="P27">
        <f>IF(AND(M27&lt;&gt;"",N27&lt;&gt;"",O27&lt;&gt;""),(M27+4*N27+O27)/6,"")</f>
        <v/>
      </c>
    </row>
    <row r="28">
      <c r="P28">
        <f>IF(AND(M28&lt;&gt;"",N28&lt;&gt;"",O28&lt;&gt;""),(M28+4*N28+O28)/6,"")</f>
        <v/>
      </c>
    </row>
    <row r="29">
      <c r="P29">
        <f>IF(AND(M29&lt;&gt;"",N29&lt;&gt;"",O29&lt;&gt;""),(M29+4*N29+O29)/6,"")</f>
        <v/>
      </c>
    </row>
    <row r="30">
      <c r="P30">
        <f>IF(AND(M30&lt;&gt;"",N30&lt;&gt;"",O30&lt;&gt;""),(M30+4*N30+O30)/6,"")</f>
        <v/>
      </c>
    </row>
    <row r="31">
      <c r="P31">
        <f>IF(AND(M31&lt;&gt;"",N31&lt;&gt;"",O31&lt;&gt;""),(M31+4*N31+O31)/6,"")</f>
        <v/>
      </c>
    </row>
    <row r="32">
      <c r="P32">
        <f>IF(AND(M32&lt;&gt;"",N32&lt;&gt;"",O32&lt;&gt;""),(M32+4*N32+O32)/6,"")</f>
        <v/>
      </c>
    </row>
    <row r="33">
      <c r="P33">
        <f>IF(AND(M33&lt;&gt;"",N33&lt;&gt;"",O33&lt;&gt;""),(M33+4*N33+O33)/6,"")</f>
        <v/>
      </c>
    </row>
    <row r="34">
      <c r="P34">
        <f>IF(AND(M34&lt;&gt;"",N34&lt;&gt;"",O34&lt;&gt;""),(M34+4*N34+O34)/6,"")</f>
        <v/>
      </c>
    </row>
    <row r="35">
      <c r="P35">
        <f>IF(AND(M35&lt;&gt;"",N35&lt;&gt;"",O35&lt;&gt;""),(M35+4*N35+O35)/6,"")</f>
        <v/>
      </c>
    </row>
    <row r="36">
      <c r="P36">
        <f>IF(AND(M36&lt;&gt;"",N36&lt;&gt;"",O36&lt;&gt;""),(M36+4*N36+O36)/6,"")</f>
        <v/>
      </c>
    </row>
    <row r="37">
      <c r="P37">
        <f>IF(AND(M37&lt;&gt;"",N37&lt;&gt;"",O37&lt;&gt;""),(M37+4*N37+O37)/6,"")</f>
        <v/>
      </c>
    </row>
    <row r="38">
      <c r="P38">
        <f>IF(AND(M38&lt;&gt;"",N38&lt;&gt;"",O38&lt;&gt;""),(M38+4*N38+O38)/6,"")</f>
        <v/>
      </c>
    </row>
    <row r="39">
      <c r="P39">
        <f>IF(AND(M39&lt;&gt;"",N39&lt;&gt;"",O39&lt;&gt;""),(M39+4*N39+O39)/6,"")</f>
        <v/>
      </c>
    </row>
    <row r="40">
      <c r="P40">
        <f>IF(AND(M40&lt;&gt;"",N40&lt;&gt;"",O40&lt;&gt;""),(M40+4*N40+O40)/6,"")</f>
        <v/>
      </c>
    </row>
    <row r="41">
      <c r="P41">
        <f>IF(AND(M41&lt;&gt;"",N41&lt;&gt;"",O41&lt;&gt;""),(M41+4*N41+O41)/6,"")</f>
        <v/>
      </c>
    </row>
    <row r="42">
      <c r="P42">
        <f>IF(AND(M42&lt;&gt;"",N42&lt;&gt;"",O42&lt;&gt;""),(M42+4*N42+O42)/6,"")</f>
        <v/>
      </c>
    </row>
    <row r="43">
      <c r="P43">
        <f>IF(AND(M43&lt;&gt;"",N43&lt;&gt;"",O43&lt;&gt;""),(M43+4*N43+O43)/6,"")</f>
        <v/>
      </c>
    </row>
    <row r="44">
      <c r="P44">
        <f>IF(AND(M44&lt;&gt;"",N44&lt;&gt;"",O44&lt;&gt;""),(M44+4*N44+O44)/6,"")</f>
        <v/>
      </c>
    </row>
    <row r="45">
      <c r="P45">
        <f>IF(AND(M45&lt;&gt;"",N45&lt;&gt;"",O45&lt;&gt;""),(M45+4*N45+O45)/6,"")</f>
        <v/>
      </c>
    </row>
    <row r="46">
      <c r="P46">
        <f>IF(AND(M46&lt;&gt;"",N46&lt;&gt;"",O46&lt;&gt;""),(M46+4*N46+O46)/6,"")</f>
        <v/>
      </c>
    </row>
    <row r="47">
      <c r="P47">
        <f>IF(AND(M47&lt;&gt;"",N47&lt;&gt;"",O47&lt;&gt;""),(M47+4*N47+O47)/6,"")</f>
        <v/>
      </c>
    </row>
    <row r="48">
      <c r="P48">
        <f>IF(AND(M48&lt;&gt;"",N48&lt;&gt;"",O48&lt;&gt;""),(M48+4*N48+O48)/6,"")</f>
        <v/>
      </c>
    </row>
    <row r="49">
      <c r="P49">
        <f>IF(AND(M49&lt;&gt;"",N49&lt;&gt;"",O49&lt;&gt;""),(M49+4*N49+O49)/6,"")</f>
        <v/>
      </c>
    </row>
    <row r="50">
      <c r="P50">
        <f>IF(AND(M50&lt;&gt;"",N50&lt;&gt;"",O50&lt;&gt;""),(M50+4*N50+O50)/6,"")</f>
        <v/>
      </c>
    </row>
    <row r="51">
      <c r="P51">
        <f>IF(AND(M51&lt;&gt;"",N51&lt;&gt;"",O51&lt;&gt;""),(M51+4*N51+O51)/6,"")</f>
        <v/>
      </c>
    </row>
    <row r="52">
      <c r="P52">
        <f>IF(AND(M52&lt;&gt;"",N52&lt;&gt;"",O52&lt;&gt;""),(M52+4*N52+O52)/6,"")</f>
        <v/>
      </c>
    </row>
    <row r="53">
      <c r="P53">
        <f>IF(AND(M53&lt;&gt;"",N53&lt;&gt;"",O53&lt;&gt;""),(M53+4*N53+O53)/6,"")</f>
        <v/>
      </c>
    </row>
    <row r="54">
      <c r="P54">
        <f>IF(AND(M54&lt;&gt;"",N54&lt;&gt;"",O54&lt;&gt;""),(M54+4*N54+O54)/6,"")</f>
        <v/>
      </c>
    </row>
    <row r="55">
      <c r="P55">
        <f>IF(AND(M55&lt;&gt;"",N55&lt;&gt;"",O55&lt;&gt;""),(M55+4*N55+O55)/6,"")</f>
        <v/>
      </c>
    </row>
    <row r="56">
      <c r="P56">
        <f>IF(AND(M56&lt;&gt;"",N56&lt;&gt;"",O56&lt;&gt;""),(M56+4*N56+O56)/6,"")</f>
        <v/>
      </c>
    </row>
    <row r="57">
      <c r="P57">
        <f>IF(AND(M57&lt;&gt;"",N57&lt;&gt;"",O57&lt;&gt;""),(M57+4*N57+O57)/6,"")</f>
        <v/>
      </c>
    </row>
    <row r="58">
      <c r="P58">
        <f>IF(AND(M58&lt;&gt;"",N58&lt;&gt;"",O58&lt;&gt;""),(M58+4*N58+O58)/6,"")</f>
        <v/>
      </c>
    </row>
    <row r="59">
      <c r="P59">
        <f>IF(AND(M59&lt;&gt;"",N59&lt;&gt;"",O59&lt;&gt;""),(M59+4*N59+O59)/6,"")</f>
        <v/>
      </c>
    </row>
    <row r="60">
      <c r="P60">
        <f>IF(AND(M60&lt;&gt;"",N60&lt;&gt;"",O60&lt;&gt;""),(M60+4*N60+O60)/6,"")</f>
        <v/>
      </c>
    </row>
    <row r="61">
      <c r="P61">
        <f>IF(AND(M61&lt;&gt;"",N61&lt;&gt;"",O61&lt;&gt;""),(M61+4*N61+O61)/6,"")</f>
        <v/>
      </c>
    </row>
    <row r="62">
      <c r="P62">
        <f>IF(AND(M62&lt;&gt;"",N62&lt;&gt;"",O62&lt;&gt;""),(M62+4*N62+O62)/6,"")</f>
        <v/>
      </c>
    </row>
    <row r="63">
      <c r="P63">
        <f>IF(AND(M63&lt;&gt;"",N63&lt;&gt;"",O63&lt;&gt;""),(M63+4*N63+O63)/6,"")</f>
        <v/>
      </c>
    </row>
    <row r="64">
      <c r="P64">
        <f>IF(AND(M64&lt;&gt;"",N64&lt;&gt;"",O64&lt;&gt;""),(M64+4*N64+O64)/6,"")</f>
        <v/>
      </c>
    </row>
    <row r="65">
      <c r="P65">
        <f>IF(AND(M65&lt;&gt;"",N65&lt;&gt;"",O65&lt;&gt;""),(M65+4*N65+O65)/6,"")</f>
        <v/>
      </c>
    </row>
    <row r="66">
      <c r="P66">
        <f>IF(AND(M66&lt;&gt;"",N66&lt;&gt;"",O66&lt;&gt;""),(M66+4*N66+O66)/6,"")</f>
        <v/>
      </c>
    </row>
    <row r="67">
      <c r="P67">
        <f>IF(AND(M67&lt;&gt;"",N67&lt;&gt;"",O67&lt;&gt;""),(M67+4*N67+O67)/6,"")</f>
        <v/>
      </c>
    </row>
    <row r="68">
      <c r="P68">
        <f>IF(AND(M68&lt;&gt;"",N68&lt;&gt;"",O68&lt;&gt;""),(M68+4*N68+O68)/6,"")</f>
        <v/>
      </c>
    </row>
    <row r="69">
      <c r="P69">
        <f>IF(AND(M69&lt;&gt;"",N69&lt;&gt;"",O69&lt;&gt;""),(M69+4*N69+O69)/6,"")</f>
        <v/>
      </c>
    </row>
    <row r="70">
      <c r="P70">
        <f>IF(AND(M70&lt;&gt;"",N70&lt;&gt;"",O70&lt;&gt;""),(M70+4*N70+O70)/6,"")</f>
        <v/>
      </c>
    </row>
    <row r="71">
      <c r="P71">
        <f>IF(AND(M71&lt;&gt;"",N71&lt;&gt;"",O71&lt;&gt;""),(M71+4*N71+O71)/6,"")</f>
        <v/>
      </c>
    </row>
    <row r="72">
      <c r="P72">
        <f>IF(AND(M72&lt;&gt;"",N72&lt;&gt;"",O72&lt;&gt;""),(M72+4*N72+O72)/6,"")</f>
        <v/>
      </c>
    </row>
    <row r="73">
      <c r="P73">
        <f>IF(AND(M73&lt;&gt;"",N73&lt;&gt;"",O73&lt;&gt;""),(M73+4*N73+O73)/6,"")</f>
        <v/>
      </c>
    </row>
    <row r="74">
      <c r="P74">
        <f>IF(AND(M74&lt;&gt;"",N74&lt;&gt;"",O74&lt;&gt;""),(M74+4*N74+O74)/6,"")</f>
        <v/>
      </c>
    </row>
    <row r="75">
      <c r="P75">
        <f>IF(AND(M75&lt;&gt;"",N75&lt;&gt;"",O75&lt;&gt;""),(M75+4*N75+O75)/6,"")</f>
        <v/>
      </c>
    </row>
    <row r="76">
      <c r="P76">
        <f>IF(AND(M76&lt;&gt;"",N76&lt;&gt;"",O76&lt;&gt;""),(M76+4*N76+O76)/6,"")</f>
        <v/>
      </c>
    </row>
    <row r="77">
      <c r="P77">
        <f>IF(AND(M77&lt;&gt;"",N77&lt;&gt;"",O77&lt;&gt;""),(M77+4*N77+O77)/6,"")</f>
        <v/>
      </c>
    </row>
    <row r="78">
      <c r="P78">
        <f>IF(AND(M78&lt;&gt;"",N78&lt;&gt;"",O78&lt;&gt;""),(M78+4*N78+O78)/6,"")</f>
        <v/>
      </c>
    </row>
    <row r="79">
      <c r="P79">
        <f>IF(AND(M79&lt;&gt;"",N79&lt;&gt;"",O79&lt;&gt;""),(M79+4*N79+O79)/6,"")</f>
        <v/>
      </c>
    </row>
    <row r="80">
      <c r="P80">
        <f>IF(AND(M80&lt;&gt;"",N80&lt;&gt;"",O80&lt;&gt;""),(M80+4*N80+O80)/6,"")</f>
        <v/>
      </c>
    </row>
    <row r="81">
      <c r="P81">
        <f>IF(AND(M81&lt;&gt;"",N81&lt;&gt;"",O81&lt;&gt;""),(M81+4*N81+O81)/6,"")</f>
        <v/>
      </c>
    </row>
    <row r="82">
      <c r="P82">
        <f>IF(AND(M82&lt;&gt;"",N82&lt;&gt;"",O82&lt;&gt;""),(M82+4*N82+O82)/6,"")</f>
        <v/>
      </c>
    </row>
    <row r="83">
      <c r="P83">
        <f>IF(AND(M83&lt;&gt;"",N83&lt;&gt;"",O83&lt;&gt;""),(M83+4*N83+O83)/6,"")</f>
        <v/>
      </c>
    </row>
    <row r="84">
      <c r="P84">
        <f>IF(AND(M84&lt;&gt;"",N84&lt;&gt;"",O84&lt;&gt;""),(M84+4*N84+O84)/6,"")</f>
        <v/>
      </c>
    </row>
    <row r="85">
      <c r="P85">
        <f>IF(AND(M85&lt;&gt;"",N85&lt;&gt;"",O85&lt;&gt;""),(M85+4*N85+O85)/6,"")</f>
        <v/>
      </c>
    </row>
    <row r="86">
      <c r="P86">
        <f>IF(AND(M86&lt;&gt;"",N86&lt;&gt;"",O86&lt;&gt;""),(M86+4*N86+O86)/6,"")</f>
        <v/>
      </c>
    </row>
    <row r="87">
      <c r="P87">
        <f>IF(AND(M87&lt;&gt;"",N87&lt;&gt;"",O87&lt;&gt;""),(M87+4*N87+O87)/6,"")</f>
        <v/>
      </c>
    </row>
    <row r="88">
      <c r="P88">
        <f>IF(AND(M88&lt;&gt;"",N88&lt;&gt;"",O88&lt;&gt;""),(M88+4*N88+O88)/6,"")</f>
        <v/>
      </c>
    </row>
    <row r="89">
      <c r="P89">
        <f>IF(AND(M89&lt;&gt;"",N89&lt;&gt;"",O89&lt;&gt;""),(M89+4*N89+O89)/6,"")</f>
        <v/>
      </c>
    </row>
    <row r="90">
      <c r="P90">
        <f>IF(AND(M90&lt;&gt;"",N90&lt;&gt;"",O90&lt;&gt;""),(M90+4*N90+O90)/6,"")</f>
        <v/>
      </c>
    </row>
    <row r="91">
      <c r="P91">
        <f>IF(AND(M91&lt;&gt;"",N91&lt;&gt;"",O91&lt;&gt;""),(M91+4*N91+O91)/6,"")</f>
        <v/>
      </c>
    </row>
    <row r="92">
      <c r="P92">
        <f>IF(AND(M92&lt;&gt;"",N92&lt;&gt;"",O92&lt;&gt;""),(M92+4*N92+O92)/6,"")</f>
        <v/>
      </c>
    </row>
    <row r="93">
      <c r="P93">
        <f>IF(AND(M93&lt;&gt;"",N93&lt;&gt;"",O93&lt;&gt;""),(M93+4*N93+O93)/6,"")</f>
        <v/>
      </c>
    </row>
    <row r="94">
      <c r="P94">
        <f>IF(AND(M94&lt;&gt;"",N94&lt;&gt;"",O94&lt;&gt;""),(M94+4*N94+O94)/6,"")</f>
        <v/>
      </c>
    </row>
    <row r="95">
      <c r="P95">
        <f>IF(AND(M95&lt;&gt;"",N95&lt;&gt;"",O95&lt;&gt;""),(M95+4*N95+O95)/6,"")</f>
        <v/>
      </c>
    </row>
    <row r="96">
      <c r="P96">
        <f>IF(AND(M96&lt;&gt;"",N96&lt;&gt;"",O96&lt;&gt;""),(M96+4*N96+O96)/6,"")</f>
        <v/>
      </c>
    </row>
    <row r="97">
      <c r="P97">
        <f>IF(AND(M97&lt;&gt;"",N97&lt;&gt;"",O97&lt;&gt;""),(M97+4*N97+O97)/6,"")</f>
        <v/>
      </c>
    </row>
    <row r="98">
      <c r="P98">
        <f>IF(AND(M98&lt;&gt;"",N98&lt;&gt;"",O98&lt;&gt;""),(M98+4*N98+O98)/6,"")</f>
        <v/>
      </c>
    </row>
    <row r="99">
      <c r="P99">
        <f>IF(AND(M99&lt;&gt;"",N99&lt;&gt;"",O99&lt;&gt;""),(M99+4*N99+O99)/6,"")</f>
        <v/>
      </c>
    </row>
    <row r="100">
      <c r="P100">
        <f>IF(AND(M100&lt;&gt;"",N100&lt;&gt;"",O100&lt;&gt;""),(M100+4*N100+O100)/6,"")</f>
        <v/>
      </c>
    </row>
    <row r="101">
      <c r="P101">
        <f>IF(AND(M101&lt;&gt;"",N101&lt;&gt;"",O101&lt;&gt;""),(M101+4*N101+O101)/6,"")</f>
        <v/>
      </c>
    </row>
    <row r="102">
      <c r="P102">
        <f>IF(AND(M102&lt;&gt;"",N102&lt;&gt;"",O102&lt;&gt;""),(M102+4*N102+O102)/6,"")</f>
        <v/>
      </c>
    </row>
    <row r="103">
      <c r="P103">
        <f>IF(AND(M103&lt;&gt;"",N103&lt;&gt;"",O103&lt;&gt;""),(M103+4*N103+O103)/6,"")</f>
        <v/>
      </c>
    </row>
    <row r="104">
      <c r="P104">
        <f>IF(AND(M104&lt;&gt;"",N104&lt;&gt;"",O104&lt;&gt;""),(M104+4*N104+O104)/6,"")</f>
        <v/>
      </c>
    </row>
    <row r="105">
      <c r="P105">
        <f>IF(AND(M105&lt;&gt;"",N105&lt;&gt;"",O105&lt;&gt;""),(M105+4*N105+O105)/6,"")</f>
        <v/>
      </c>
    </row>
    <row r="106">
      <c r="P106">
        <f>IF(AND(M106&lt;&gt;"",N106&lt;&gt;"",O106&lt;&gt;""),(M106+4*N106+O106)/6,"")</f>
        <v/>
      </c>
    </row>
    <row r="107">
      <c r="P107">
        <f>IF(AND(M107&lt;&gt;"",N107&lt;&gt;"",O107&lt;&gt;""),(M107+4*N107+O107)/6,"")</f>
        <v/>
      </c>
    </row>
    <row r="108">
      <c r="P108">
        <f>IF(AND(M108&lt;&gt;"",N108&lt;&gt;"",O108&lt;&gt;""),(M108+4*N108+O108)/6,"")</f>
        <v/>
      </c>
    </row>
    <row r="109">
      <c r="P109">
        <f>IF(AND(M109&lt;&gt;"",N109&lt;&gt;"",O109&lt;&gt;""),(M109+4*N109+O109)/6,"")</f>
        <v/>
      </c>
    </row>
    <row r="110">
      <c r="P110">
        <f>IF(AND(M110&lt;&gt;"",N110&lt;&gt;"",O110&lt;&gt;""),(M110+4*N110+O110)/6,"")</f>
        <v/>
      </c>
    </row>
    <row r="111">
      <c r="P111">
        <f>IF(AND(M111&lt;&gt;"",N111&lt;&gt;"",O111&lt;&gt;""),(M111+4*N111+O111)/6,"")</f>
        <v/>
      </c>
    </row>
    <row r="112">
      <c r="P112">
        <f>IF(AND(M112&lt;&gt;"",N112&lt;&gt;"",O112&lt;&gt;""),(M112+4*N112+O112)/6,"")</f>
        <v/>
      </c>
    </row>
    <row r="113">
      <c r="P113">
        <f>IF(AND(M113&lt;&gt;"",N113&lt;&gt;"",O113&lt;&gt;""),(M113+4*N113+O113)/6,"")</f>
        <v/>
      </c>
    </row>
    <row r="114">
      <c r="P114">
        <f>IF(AND(M114&lt;&gt;"",N114&lt;&gt;"",O114&lt;&gt;""),(M114+4*N114+O114)/6,"")</f>
        <v/>
      </c>
    </row>
    <row r="115">
      <c r="P115">
        <f>IF(AND(M115&lt;&gt;"",N115&lt;&gt;"",O115&lt;&gt;""),(M115+4*N115+O115)/6,"")</f>
        <v/>
      </c>
    </row>
    <row r="116">
      <c r="P116">
        <f>IF(AND(M116&lt;&gt;"",N116&lt;&gt;"",O116&lt;&gt;""),(M116+4*N116+O116)/6,"")</f>
        <v/>
      </c>
    </row>
    <row r="117">
      <c r="P117">
        <f>IF(AND(M117&lt;&gt;"",N117&lt;&gt;"",O117&lt;&gt;""),(M117+4*N117+O117)/6,"")</f>
        <v/>
      </c>
    </row>
    <row r="118">
      <c r="P118">
        <f>IF(AND(M118&lt;&gt;"",N118&lt;&gt;"",O118&lt;&gt;""),(M118+4*N118+O118)/6,"")</f>
        <v/>
      </c>
    </row>
    <row r="119">
      <c r="P119">
        <f>IF(AND(M119&lt;&gt;"",N119&lt;&gt;"",O119&lt;&gt;""),(M119+4*N119+O119)/6,"")</f>
        <v/>
      </c>
    </row>
    <row r="120">
      <c r="P120">
        <f>IF(AND(M120&lt;&gt;"",N120&lt;&gt;"",O120&lt;&gt;""),(M120+4*N120+O120)/6,"")</f>
        <v/>
      </c>
    </row>
    <row r="121">
      <c r="P121">
        <f>IF(AND(M121&lt;&gt;"",N121&lt;&gt;"",O121&lt;&gt;""),(M121+4*N121+O121)/6,"")</f>
        <v/>
      </c>
    </row>
    <row r="122">
      <c r="P122">
        <f>IF(AND(M122&lt;&gt;"",N122&lt;&gt;"",O122&lt;&gt;""),(M122+4*N122+O122)/6,"")</f>
        <v/>
      </c>
    </row>
    <row r="123">
      <c r="P123">
        <f>IF(AND(M123&lt;&gt;"",N123&lt;&gt;"",O123&lt;&gt;""),(M123+4*N123+O123)/6,"")</f>
        <v/>
      </c>
    </row>
    <row r="124">
      <c r="P124">
        <f>IF(AND(M124&lt;&gt;"",N124&lt;&gt;"",O124&lt;&gt;""),(M124+4*N124+O124)/6,"")</f>
        <v/>
      </c>
    </row>
    <row r="125">
      <c r="P125">
        <f>IF(AND(M125&lt;&gt;"",N125&lt;&gt;"",O125&lt;&gt;""),(M125+4*N125+O125)/6,"")</f>
        <v/>
      </c>
    </row>
    <row r="126">
      <c r="P126">
        <f>IF(AND(M126&lt;&gt;"",N126&lt;&gt;"",O126&lt;&gt;""),(M126+4*N126+O126)/6,"")</f>
        <v/>
      </c>
    </row>
    <row r="127">
      <c r="P127">
        <f>IF(AND(M127&lt;&gt;"",N127&lt;&gt;"",O127&lt;&gt;""),(M127+4*N127+O127)/6,"")</f>
        <v/>
      </c>
    </row>
    <row r="128">
      <c r="P128">
        <f>IF(AND(M128&lt;&gt;"",N128&lt;&gt;"",O128&lt;&gt;""),(M128+4*N128+O128)/6,"")</f>
        <v/>
      </c>
    </row>
    <row r="129">
      <c r="P129">
        <f>IF(AND(M129&lt;&gt;"",N129&lt;&gt;"",O129&lt;&gt;""),(M129+4*N129+O129)/6,"")</f>
        <v/>
      </c>
    </row>
    <row r="130">
      <c r="P130">
        <f>IF(AND(M130&lt;&gt;"",N130&lt;&gt;"",O130&lt;&gt;""),(M130+4*N130+O130)/6,"")</f>
        <v/>
      </c>
    </row>
    <row r="131">
      <c r="P131">
        <f>IF(AND(M131&lt;&gt;"",N131&lt;&gt;"",O131&lt;&gt;""),(M131+4*N131+O131)/6,"")</f>
        <v/>
      </c>
    </row>
    <row r="132">
      <c r="P132">
        <f>IF(AND(M132&lt;&gt;"",N132&lt;&gt;"",O132&lt;&gt;""),(M132+4*N132+O132)/6,"")</f>
        <v/>
      </c>
    </row>
    <row r="133">
      <c r="P133">
        <f>IF(AND(M133&lt;&gt;"",N133&lt;&gt;"",O133&lt;&gt;""),(M133+4*N133+O133)/6,"")</f>
        <v/>
      </c>
    </row>
    <row r="134">
      <c r="P134">
        <f>IF(AND(M134&lt;&gt;"",N134&lt;&gt;"",O134&lt;&gt;""),(M134+4*N134+O134)/6,"")</f>
        <v/>
      </c>
    </row>
    <row r="135">
      <c r="P135">
        <f>IF(AND(M135&lt;&gt;"",N135&lt;&gt;"",O135&lt;&gt;""),(M135+4*N135+O135)/6,"")</f>
        <v/>
      </c>
    </row>
    <row r="136">
      <c r="P136">
        <f>IF(AND(M136&lt;&gt;"",N136&lt;&gt;"",O136&lt;&gt;""),(M136+4*N136+O136)/6,"")</f>
        <v/>
      </c>
    </row>
    <row r="137">
      <c r="P137">
        <f>IF(AND(M137&lt;&gt;"",N137&lt;&gt;"",O137&lt;&gt;""),(M137+4*N137+O137)/6,"")</f>
        <v/>
      </c>
    </row>
    <row r="138">
      <c r="P138">
        <f>IF(AND(M138&lt;&gt;"",N138&lt;&gt;"",O138&lt;&gt;""),(M138+4*N138+O138)/6,"")</f>
        <v/>
      </c>
    </row>
    <row r="139">
      <c r="P139">
        <f>IF(AND(M139&lt;&gt;"",N139&lt;&gt;"",O139&lt;&gt;""),(M139+4*N139+O139)/6,"")</f>
        <v/>
      </c>
    </row>
    <row r="140">
      <c r="P140">
        <f>IF(AND(M140&lt;&gt;"",N140&lt;&gt;"",O140&lt;&gt;""),(M140+4*N140+O140)/6,"")</f>
        <v/>
      </c>
    </row>
    <row r="141">
      <c r="P141">
        <f>IF(AND(M141&lt;&gt;"",N141&lt;&gt;"",O141&lt;&gt;""),(M141+4*N141+O141)/6,"")</f>
        <v/>
      </c>
    </row>
    <row r="142">
      <c r="P142">
        <f>IF(AND(M142&lt;&gt;"",N142&lt;&gt;"",O142&lt;&gt;""),(M142+4*N142+O142)/6,"")</f>
        <v/>
      </c>
    </row>
    <row r="143">
      <c r="P143">
        <f>IF(AND(M143&lt;&gt;"",N143&lt;&gt;"",O143&lt;&gt;""),(M143+4*N143+O143)/6,"")</f>
        <v/>
      </c>
    </row>
    <row r="144">
      <c r="P144">
        <f>IF(AND(M144&lt;&gt;"",N144&lt;&gt;"",O144&lt;&gt;""),(M144+4*N144+O144)/6,"")</f>
        <v/>
      </c>
    </row>
    <row r="145">
      <c r="P145">
        <f>IF(AND(M145&lt;&gt;"",N145&lt;&gt;"",O145&lt;&gt;""),(M145+4*N145+O145)/6,"")</f>
        <v/>
      </c>
    </row>
    <row r="146">
      <c r="P146">
        <f>IF(AND(M146&lt;&gt;"",N146&lt;&gt;"",O146&lt;&gt;""),(M146+4*N146+O146)/6,"")</f>
        <v/>
      </c>
    </row>
    <row r="147">
      <c r="P147">
        <f>IF(AND(M147&lt;&gt;"",N147&lt;&gt;"",O147&lt;&gt;""),(M147+4*N147+O147)/6,"")</f>
        <v/>
      </c>
    </row>
    <row r="148">
      <c r="P148">
        <f>IF(AND(M148&lt;&gt;"",N148&lt;&gt;"",O148&lt;&gt;""),(M148+4*N148+O148)/6,"")</f>
        <v/>
      </c>
    </row>
    <row r="149">
      <c r="P149">
        <f>IF(AND(M149&lt;&gt;"",N149&lt;&gt;"",O149&lt;&gt;""),(M149+4*N149+O149)/6,"")</f>
        <v/>
      </c>
    </row>
    <row r="150">
      <c r="P150">
        <f>IF(AND(M150&lt;&gt;"",N150&lt;&gt;"",O150&lt;&gt;""),(M150+4*N150+O150)/6,"")</f>
        <v/>
      </c>
    </row>
    <row r="151">
      <c r="P151">
        <f>IF(AND(M151&lt;&gt;"",N151&lt;&gt;"",O151&lt;&gt;""),(M151+4*N151+O151)/6,"")</f>
        <v/>
      </c>
    </row>
    <row r="152">
      <c r="P152">
        <f>IF(AND(M152&lt;&gt;"",N152&lt;&gt;"",O152&lt;&gt;""),(M152+4*N152+O152)/6,"")</f>
        <v/>
      </c>
    </row>
    <row r="153">
      <c r="P153">
        <f>IF(AND(M153&lt;&gt;"",N153&lt;&gt;"",O153&lt;&gt;""),(M153+4*N153+O153)/6,"")</f>
        <v/>
      </c>
    </row>
    <row r="154">
      <c r="P154">
        <f>IF(AND(M154&lt;&gt;"",N154&lt;&gt;"",O154&lt;&gt;""),(M154+4*N154+O154)/6,"")</f>
        <v/>
      </c>
    </row>
    <row r="155">
      <c r="P155">
        <f>IF(AND(M155&lt;&gt;"",N155&lt;&gt;"",O155&lt;&gt;""),(M155+4*N155+O155)/6,"")</f>
        <v/>
      </c>
    </row>
    <row r="156">
      <c r="P156">
        <f>IF(AND(M156&lt;&gt;"",N156&lt;&gt;"",O156&lt;&gt;""),(M156+4*N156+O156)/6,"")</f>
        <v/>
      </c>
    </row>
    <row r="157">
      <c r="P157">
        <f>IF(AND(M157&lt;&gt;"",N157&lt;&gt;"",O157&lt;&gt;""),(M157+4*N157+O157)/6,"")</f>
        <v/>
      </c>
    </row>
    <row r="158">
      <c r="P158">
        <f>IF(AND(M158&lt;&gt;"",N158&lt;&gt;"",O158&lt;&gt;""),(M158+4*N158+O158)/6,"")</f>
        <v/>
      </c>
    </row>
    <row r="159">
      <c r="P159">
        <f>IF(AND(M159&lt;&gt;"",N159&lt;&gt;"",O159&lt;&gt;""),(M159+4*N159+O159)/6,"")</f>
        <v/>
      </c>
    </row>
    <row r="160">
      <c r="P160">
        <f>IF(AND(M160&lt;&gt;"",N160&lt;&gt;"",O160&lt;&gt;""),(M160+4*N160+O160)/6,"")</f>
        <v/>
      </c>
    </row>
    <row r="161">
      <c r="P161">
        <f>IF(AND(M161&lt;&gt;"",N161&lt;&gt;"",O161&lt;&gt;""),(M161+4*N161+O161)/6,"")</f>
        <v/>
      </c>
    </row>
    <row r="162">
      <c r="P162">
        <f>IF(AND(M162&lt;&gt;"",N162&lt;&gt;"",O162&lt;&gt;""),(M162+4*N162+O162)/6,"")</f>
        <v/>
      </c>
    </row>
    <row r="163">
      <c r="P163">
        <f>IF(AND(M163&lt;&gt;"",N163&lt;&gt;"",O163&lt;&gt;""),(M163+4*N163+O163)/6,"")</f>
        <v/>
      </c>
    </row>
    <row r="164">
      <c r="P164">
        <f>IF(AND(M164&lt;&gt;"",N164&lt;&gt;"",O164&lt;&gt;""),(M164+4*N164+O164)/6,"")</f>
        <v/>
      </c>
    </row>
    <row r="165">
      <c r="P165">
        <f>IF(AND(M165&lt;&gt;"",N165&lt;&gt;"",O165&lt;&gt;""),(M165+4*N165+O165)/6,"")</f>
        <v/>
      </c>
    </row>
    <row r="166">
      <c r="P166">
        <f>IF(AND(M166&lt;&gt;"",N166&lt;&gt;"",O166&lt;&gt;""),(M166+4*N166+O166)/6,"")</f>
        <v/>
      </c>
    </row>
    <row r="167">
      <c r="P167">
        <f>IF(AND(M167&lt;&gt;"",N167&lt;&gt;"",O167&lt;&gt;""),(M167+4*N167+O167)/6,"")</f>
        <v/>
      </c>
    </row>
    <row r="168">
      <c r="P168">
        <f>IF(AND(M168&lt;&gt;"",N168&lt;&gt;"",O168&lt;&gt;""),(M168+4*N168+O168)/6,"")</f>
        <v/>
      </c>
    </row>
    <row r="169">
      <c r="P169">
        <f>IF(AND(M169&lt;&gt;"",N169&lt;&gt;"",O169&lt;&gt;""),(M169+4*N169+O169)/6,"")</f>
        <v/>
      </c>
    </row>
    <row r="170">
      <c r="P170">
        <f>IF(AND(M170&lt;&gt;"",N170&lt;&gt;"",O170&lt;&gt;""),(M170+4*N170+O170)/6,"")</f>
        <v/>
      </c>
    </row>
    <row r="171">
      <c r="P171">
        <f>IF(AND(M171&lt;&gt;"",N171&lt;&gt;"",O171&lt;&gt;""),(M171+4*N171+O171)/6,"")</f>
        <v/>
      </c>
    </row>
    <row r="172">
      <c r="P172">
        <f>IF(AND(M172&lt;&gt;"",N172&lt;&gt;"",O172&lt;&gt;""),(M172+4*N172+O172)/6,"")</f>
        <v/>
      </c>
    </row>
    <row r="173">
      <c r="P173">
        <f>IF(AND(M173&lt;&gt;"",N173&lt;&gt;"",O173&lt;&gt;""),(M173+4*N173+O173)/6,"")</f>
        <v/>
      </c>
    </row>
    <row r="174">
      <c r="P174">
        <f>IF(AND(M174&lt;&gt;"",N174&lt;&gt;"",O174&lt;&gt;""),(M174+4*N174+O174)/6,"")</f>
        <v/>
      </c>
    </row>
    <row r="175">
      <c r="P175">
        <f>IF(AND(M175&lt;&gt;"",N175&lt;&gt;"",O175&lt;&gt;""),(M175+4*N175+O175)/6,"")</f>
        <v/>
      </c>
    </row>
    <row r="176">
      <c r="P176">
        <f>IF(AND(M176&lt;&gt;"",N176&lt;&gt;"",O176&lt;&gt;""),(M176+4*N176+O176)/6,"")</f>
        <v/>
      </c>
    </row>
    <row r="177">
      <c r="P177">
        <f>IF(AND(M177&lt;&gt;"",N177&lt;&gt;"",O177&lt;&gt;""),(M177+4*N177+O177)/6,"")</f>
        <v/>
      </c>
    </row>
    <row r="178">
      <c r="P178">
        <f>IF(AND(M178&lt;&gt;"",N178&lt;&gt;"",O178&lt;&gt;""),(M178+4*N178+O178)/6,"")</f>
        <v/>
      </c>
    </row>
    <row r="179">
      <c r="P179">
        <f>IF(AND(M179&lt;&gt;"",N179&lt;&gt;"",O179&lt;&gt;""),(M179+4*N179+O179)/6,"")</f>
        <v/>
      </c>
    </row>
    <row r="180">
      <c r="P180">
        <f>IF(AND(M180&lt;&gt;"",N180&lt;&gt;"",O180&lt;&gt;""),(M180+4*N180+O180)/6,"")</f>
        <v/>
      </c>
    </row>
    <row r="181">
      <c r="P181">
        <f>IF(AND(M181&lt;&gt;"",N181&lt;&gt;"",O181&lt;&gt;""),(M181+4*N181+O181)/6,"")</f>
        <v/>
      </c>
    </row>
    <row r="182">
      <c r="P182">
        <f>IF(AND(M182&lt;&gt;"",N182&lt;&gt;"",O182&lt;&gt;""),(M182+4*N182+O182)/6,"")</f>
        <v/>
      </c>
    </row>
    <row r="183">
      <c r="P183">
        <f>IF(AND(M183&lt;&gt;"",N183&lt;&gt;"",O183&lt;&gt;""),(M183+4*N183+O183)/6,"")</f>
        <v/>
      </c>
    </row>
    <row r="184">
      <c r="P184">
        <f>IF(AND(M184&lt;&gt;"",N184&lt;&gt;"",O184&lt;&gt;""),(M184+4*N184+O184)/6,"")</f>
        <v/>
      </c>
    </row>
    <row r="185">
      <c r="P185">
        <f>IF(AND(M185&lt;&gt;"",N185&lt;&gt;"",O185&lt;&gt;""),(M185+4*N185+O185)/6,"")</f>
        <v/>
      </c>
    </row>
    <row r="186">
      <c r="P186">
        <f>IF(AND(M186&lt;&gt;"",N186&lt;&gt;"",O186&lt;&gt;""),(M186+4*N186+O186)/6,"")</f>
        <v/>
      </c>
    </row>
    <row r="187">
      <c r="P187">
        <f>IF(AND(M187&lt;&gt;"",N187&lt;&gt;"",O187&lt;&gt;""),(M187+4*N187+O187)/6,"")</f>
        <v/>
      </c>
    </row>
    <row r="188">
      <c r="P188">
        <f>IF(AND(M188&lt;&gt;"",N188&lt;&gt;"",O188&lt;&gt;""),(M188+4*N188+O188)/6,"")</f>
        <v/>
      </c>
    </row>
    <row r="189">
      <c r="P189">
        <f>IF(AND(M189&lt;&gt;"",N189&lt;&gt;"",O189&lt;&gt;""),(M189+4*N189+O189)/6,"")</f>
        <v/>
      </c>
    </row>
    <row r="190">
      <c r="P190">
        <f>IF(AND(M190&lt;&gt;"",N190&lt;&gt;"",O190&lt;&gt;""),(M190+4*N190+O190)/6,"")</f>
        <v/>
      </c>
    </row>
    <row r="191">
      <c r="P191">
        <f>IF(AND(M191&lt;&gt;"",N191&lt;&gt;"",O191&lt;&gt;""),(M191+4*N191+O191)/6,"")</f>
        <v/>
      </c>
    </row>
    <row r="192">
      <c r="P192">
        <f>IF(AND(M192&lt;&gt;"",N192&lt;&gt;"",O192&lt;&gt;""),(M192+4*N192+O192)/6,"")</f>
        <v/>
      </c>
    </row>
    <row r="193">
      <c r="P193">
        <f>IF(AND(M193&lt;&gt;"",N193&lt;&gt;"",O193&lt;&gt;""),(M193+4*N193+O193)/6,"")</f>
        <v/>
      </c>
    </row>
    <row r="194">
      <c r="P194">
        <f>IF(AND(M194&lt;&gt;"",N194&lt;&gt;"",O194&lt;&gt;""),(M194+4*N194+O194)/6,"")</f>
        <v/>
      </c>
    </row>
    <row r="195">
      <c r="P195">
        <f>IF(AND(M195&lt;&gt;"",N195&lt;&gt;"",O195&lt;&gt;""),(M195+4*N195+O195)/6,"")</f>
        <v/>
      </c>
    </row>
    <row r="196">
      <c r="P196">
        <f>IF(AND(M196&lt;&gt;"",N196&lt;&gt;"",O196&lt;&gt;""),(M196+4*N196+O196)/6,"")</f>
        <v/>
      </c>
    </row>
    <row r="197">
      <c r="P197">
        <f>IF(AND(M197&lt;&gt;"",N197&lt;&gt;"",O197&lt;&gt;""),(M197+4*N197+O197)/6,"")</f>
        <v/>
      </c>
    </row>
    <row r="198">
      <c r="P198">
        <f>IF(AND(M198&lt;&gt;"",N198&lt;&gt;"",O198&lt;&gt;""),(M198+4*N198+O198)/6,"")</f>
        <v/>
      </c>
    </row>
    <row r="199">
      <c r="P199">
        <f>IF(AND(M199&lt;&gt;"",N199&lt;&gt;"",O199&lt;&gt;""),(M199+4*N199+O199)/6,"")</f>
        <v/>
      </c>
    </row>
    <row r="200">
      <c r="P200">
        <f>IF(AND(M200&lt;&gt;"",N200&lt;&gt;"",O200&lt;&gt;""),(M200+4*N200+O200)/6,"")</f>
        <v/>
      </c>
    </row>
    <row r="201">
      <c r="P201">
        <f>IF(AND(M201&lt;&gt;"",N201&lt;&gt;"",O201&lt;&gt;""),(M201+4*N201+O201)/6,"")</f>
        <v/>
      </c>
    </row>
    <row r="202">
      <c r="P202">
        <f>IF(AND(M202&lt;&gt;"",N202&lt;&gt;"",O202&lt;&gt;""),(M202+4*N202+O202)/6,"")</f>
        <v/>
      </c>
    </row>
    <row r="203">
      <c r="P203">
        <f>IF(AND(M203&lt;&gt;"",N203&lt;&gt;"",O203&lt;&gt;""),(M203+4*N203+O203)/6,"")</f>
        <v/>
      </c>
    </row>
    <row r="204">
      <c r="P204">
        <f>IF(AND(M204&lt;&gt;"",N204&lt;&gt;"",O204&lt;&gt;""),(M204+4*N204+O204)/6,"")</f>
        <v/>
      </c>
    </row>
    <row r="205">
      <c r="P205">
        <f>IF(AND(M205&lt;&gt;"",N205&lt;&gt;"",O205&lt;&gt;""),(M205+4*N205+O205)/6,"")</f>
        <v/>
      </c>
    </row>
    <row r="206">
      <c r="P206">
        <f>IF(AND(M206&lt;&gt;"",N206&lt;&gt;"",O206&lt;&gt;""),(M206+4*N206+O206)/6,"")</f>
        <v/>
      </c>
    </row>
    <row r="207">
      <c r="P207">
        <f>IF(AND(M207&lt;&gt;"",N207&lt;&gt;"",O207&lt;&gt;""),(M207+4*N207+O207)/6,"")</f>
        <v/>
      </c>
    </row>
    <row r="208">
      <c r="P208">
        <f>IF(AND(M208&lt;&gt;"",N208&lt;&gt;"",O208&lt;&gt;""),(M208+4*N208+O208)/6,"")</f>
        <v/>
      </c>
    </row>
    <row r="209">
      <c r="P209">
        <f>IF(AND(M209&lt;&gt;"",N209&lt;&gt;"",O209&lt;&gt;""),(M209+4*N209+O209)/6,"")</f>
        <v/>
      </c>
    </row>
    <row r="210">
      <c r="P210">
        <f>IF(AND(M210&lt;&gt;"",N210&lt;&gt;"",O210&lt;&gt;""),(M210+4*N210+O210)/6,"")</f>
        <v/>
      </c>
    </row>
    <row r="211">
      <c r="P211">
        <f>IF(AND(M211&lt;&gt;"",N211&lt;&gt;"",O211&lt;&gt;""),(M211+4*N211+O211)/6,"")</f>
        <v/>
      </c>
    </row>
    <row r="212">
      <c r="P212">
        <f>IF(AND(M212&lt;&gt;"",N212&lt;&gt;"",O212&lt;&gt;""),(M212+4*N212+O212)/6,"")</f>
        <v/>
      </c>
    </row>
    <row r="213">
      <c r="P213">
        <f>IF(AND(M213&lt;&gt;"",N213&lt;&gt;"",O213&lt;&gt;""),(M213+4*N213+O213)/6,"")</f>
        <v/>
      </c>
    </row>
    <row r="214">
      <c r="P214">
        <f>IF(AND(M214&lt;&gt;"",N214&lt;&gt;"",O214&lt;&gt;""),(M214+4*N214+O214)/6,"")</f>
        <v/>
      </c>
    </row>
    <row r="215">
      <c r="P215">
        <f>IF(AND(M215&lt;&gt;"",N215&lt;&gt;"",O215&lt;&gt;""),(M215+4*N215+O215)/6,"")</f>
        <v/>
      </c>
    </row>
    <row r="216">
      <c r="P216">
        <f>IF(AND(M216&lt;&gt;"",N216&lt;&gt;"",O216&lt;&gt;""),(M216+4*N216+O216)/6,"")</f>
        <v/>
      </c>
    </row>
    <row r="217">
      <c r="P217">
        <f>IF(AND(M217&lt;&gt;"",N217&lt;&gt;"",O217&lt;&gt;""),(M217+4*N217+O217)/6,"")</f>
        <v/>
      </c>
    </row>
    <row r="218">
      <c r="P218">
        <f>IF(AND(M218&lt;&gt;"",N218&lt;&gt;"",O218&lt;&gt;""),(M218+4*N218+O218)/6,"")</f>
        <v/>
      </c>
    </row>
    <row r="219">
      <c r="P219">
        <f>IF(AND(M219&lt;&gt;"",N219&lt;&gt;"",O219&lt;&gt;""),(M219+4*N219+O219)/6,"")</f>
        <v/>
      </c>
    </row>
    <row r="220">
      <c r="P220">
        <f>IF(AND(M220&lt;&gt;"",N220&lt;&gt;"",O220&lt;&gt;""),(M220+4*N220+O220)/6,"")</f>
        <v/>
      </c>
    </row>
    <row r="221">
      <c r="P221">
        <f>IF(AND(M221&lt;&gt;"",N221&lt;&gt;"",O221&lt;&gt;""),(M221+4*N221+O221)/6,"")</f>
        <v/>
      </c>
    </row>
    <row r="222">
      <c r="P222">
        <f>IF(AND(M222&lt;&gt;"",N222&lt;&gt;"",O222&lt;&gt;""),(M222+4*N222+O222)/6,"")</f>
        <v/>
      </c>
    </row>
    <row r="223">
      <c r="P223">
        <f>IF(AND(M223&lt;&gt;"",N223&lt;&gt;"",O223&lt;&gt;""),(M223+4*N223+O223)/6,"")</f>
        <v/>
      </c>
    </row>
    <row r="224">
      <c r="P224">
        <f>IF(AND(M224&lt;&gt;"",N224&lt;&gt;"",O224&lt;&gt;""),(M224+4*N224+O224)/6,"")</f>
        <v/>
      </c>
    </row>
    <row r="225">
      <c r="P225">
        <f>IF(AND(M225&lt;&gt;"",N225&lt;&gt;"",O225&lt;&gt;""),(M225+4*N225+O225)/6,"")</f>
        <v/>
      </c>
    </row>
    <row r="226">
      <c r="P226">
        <f>IF(AND(M226&lt;&gt;"",N226&lt;&gt;"",O226&lt;&gt;""),(M226+4*N226+O226)/6,"")</f>
        <v/>
      </c>
    </row>
    <row r="227">
      <c r="P227">
        <f>IF(AND(M227&lt;&gt;"",N227&lt;&gt;"",O227&lt;&gt;""),(M227+4*N227+O227)/6,"")</f>
        <v/>
      </c>
    </row>
    <row r="228">
      <c r="P228">
        <f>IF(AND(M228&lt;&gt;"",N228&lt;&gt;"",O228&lt;&gt;""),(M228+4*N228+O228)/6,"")</f>
        <v/>
      </c>
    </row>
    <row r="229">
      <c r="P229">
        <f>IF(AND(M229&lt;&gt;"",N229&lt;&gt;"",O229&lt;&gt;""),(M229+4*N229+O229)/6,"")</f>
        <v/>
      </c>
    </row>
    <row r="230">
      <c r="P230">
        <f>IF(AND(M230&lt;&gt;"",N230&lt;&gt;"",O230&lt;&gt;""),(M230+4*N230+O230)/6,"")</f>
        <v/>
      </c>
    </row>
    <row r="231">
      <c r="P231">
        <f>IF(AND(M231&lt;&gt;"",N231&lt;&gt;"",O231&lt;&gt;""),(M231+4*N231+O231)/6,"")</f>
        <v/>
      </c>
    </row>
    <row r="232">
      <c r="P232">
        <f>IF(AND(M232&lt;&gt;"",N232&lt;&gt;"",O232&lt;&gt;""),(M232+4*N232+O232)/6,"")</f>
        <v/>
      </c>
    </row>
    <row r="233">
      <c r="P233">
        <f>IF(AND(M233&lt;&gt;"",N233&lt;&gt;"",O233&lt;&gt;""),(M233+4*N233+O233)/6,"")</f>
        <v/>
      </c>
    </row>
    <row r="234">
      <c r="P234">
        <f>IF(AND(M234&lt;&gt;"",N234&lt;&gt;"",O234&lt;&gt;""),(M234+4*N234+O234)/6,"")</f>
        <v/>
      </c>
    </row>
    <row r="235">
      <c r="P235">
        <f>IF(AND(M235&lt;&gt;"",N235&lt;&gt;"",O235&lt;&gt;""),(M235+4*N235+O235)/6,"")</f>
        <v/>
      </c>
    </row>
    <row r="236">
      <c r="P236">
        <f>IF(AND(M236&lt;&gt;"",N236&lt;&gt;"",O236&lt;&gt;""),(M236+4*N236+O236)/6,"")</f>
        <v/>
      </c>
    </row>
    <row r="237">
      <c r="P237">
        <f>IF(AND(M237&lt;&gt;"",N237&lt;&gt;"",O237&lt;&gt;""),(M237+4*N237+O237)/6,"")</f>
        <v/>
      </c>
    </row>
    <row r="238">
      <c r="P238">
        <f>IF(AND(M238&lt;&gt;"",N238&lt;&gt;"",O238&lt;&gt;""),(M238+4*N238+O238)/6,"")</f>
        <v/>
      </c>
    </row>
    <row r="239">
      <c r="P239">
        <f>IF(AND(M239&lt;&gt;"",N239&lt;&gt;"",O239&lt;&gt;""),(M239+4*N239+O239)/6,"")</f>
        <v/>
      </c>
    </row>
    <row r="240">
      <c r="P240">
        <f>IF(AND(M240&lt;&gt;"",N240&lt;&gt;"",O240&lt;&gt;""),(M240+4*N240+O240)/6,"")</f>
        <v/>
      </c>
    </row>
    <row r="241">
      <c r="P241">
        <f>IF(AND(M241&lt;&gt;"",N241&lt;&gt;"",O241&lt;&gt;""),(M241+4*N241+O241)/6,"")</f>
        <v/>
      </c>
    </row>
    <row r="242">
      <c r="P242">
        <f>IF(AND(M242&lt;&gt;"",N242&lt;&gt;"",O242&lt;&gt;""),(M242+4*N242+O242)/6,"")</f>
        <v/>
      </c>
    </row>
    <row r="243">
      <c r="P243">
        <f>IF(AND(M243&lt;&gt;"",N243&lt;&gt;"",O243&lt;&gt;""),(M243+4*N243+O243)/6,"")</f>
        <v/>
      </c>
    </row>
    <row r="244">
      <c r="P244">
        <f>IF(AND(M244&lt;&gt;"",N244&lt;&gt;"",O244&lt;&gt;""),(M244+4*N244+O244)/6,"")</f>
        <v/>
      </c>
    </row>
    <row r="245">
      <c r="P245">
        <f>IF(AND(M245&lt;&gt;"",N245&lt;&gt;"",O245&lt;&gt;""),(M245+4*N245+O245)/6,"")</f>
        <v/>
      </c>
    </row>
    <row r="246">
      <c r="P246">
        <f>IF(AND(M246&lt;&gt;"",N246&lt;&gt;"",O246&lt;&gt;""),(M246+4*N246+O246)/6,"")</f>
        <v/>
      </c>
    </row>
    <row r="247">
      <c r="P247">
        <f>IF(AND(M247&lt;&gt;"",N247&lt;&gt;"",O247&lt;&gt;""),(M247+4*N247+O247)/6,"")</f>
        <v/>
      </c>
    </row>
    <row r="248">
      <c r="P248">
        <f>IF(AND(M248&lt;&gt;"",N248&lt;&gt;"",O248&lt;&gt;""),(M248+4*N248+O248)/6,"")</f>
        <v/>
      </c>
    </row>
    <row r="249">
      <c r="P249">
        <f>IF(AND(M249&lt;&gt;"",N249&lt;&gt;"",O249&lt;&gt;""),(M249+4*N249+O249)/6,"")</f>
        <v/>
      </c>
    </row>
    <row r="250">
      <c r="P250">
        <f>IF(AND(M250&lt;&gt;"",N250&lt;&gt;"",O250&lt;&gt;""),(M250+4*N250+O250)/6,"")</f>
        <v/>
      </c>
    </row>
    <row r="251">
      <c r="P251">
        <f>IF(AND(M251&lt;&gt;"",N251&lt;&gt;"",O251&lt;&gt;""),(M251+4*N251+O251)/6,"")</f>
        <v/>
      </c>
    </row>
    <row r="252">
      <c r="P252">
        <f>IF(AND(M252&lt;&gt;"",N252&lt;&gt;"",O252&lt;&gt;""),(M252+4*N252+O252)/6,"")</f>
        <v/>
      </c>
    </row>
    <row r="253">
      <c r="P253">
        <f>IF(AND(M253&lt;&gt;"",N253&lt;&gt;"",O253&lt;&gt;""),(M253+4*N253+O253)/6,"")</f>
        <v/>
      </c>
    </row>
    <row r="254">
      <c r="P254">
        <f>IF(AND(M254&lt;&gt;"",N254&lt;&gt;"",O254&lt;&gt;""),(M254+4*N254+O254)/6,"")</f>
        <v/>
      </c>
    </row>
    <row r="255">
      <c r="P255">
        <f>IF(AND(M255&lt;&gt;"",N255&lt;&gt;"",O255&lt;&gt;""),(M255+4*N255+O255)/6,"")</f>
        <v/>
      </c>
    </row>
    <row r="256">
      <c r="P256">
        <f>IF(AND(M256&lt;&gt;"",N256&lt;&gt;"",O256&lt;&gt;""),(M256+4*N256+O256)/6,"")</f>
        <v/>
      </c>
    </row>
    <row r="257">
      <c r="P257">
        <f>IF(AND(M257&lt;&gt;"",N257&lt;&gt;"",O257&lt;&gt;""),(M257+4*N257+O257)/6,"")</f>
        <v/>
      </c>
    </row>
    <row r="258">
      <c r="P258">
        <f>IF(AND(M258&lt;&gt;"",N258&lt;&gt;"",O258&lt;&gt;""),(M258+4*N258+O258)/6,"")</f>
        <v/>
      </c>
    </row>
    <row r="259">
      <c r="P259">
        <f>IF(AND(M259&lt;&gt;"",N259&lt;&gt;"",O259&lt;&gt;""),(M259+4*N259+O259)/6,"")</f>
        <v/>
      </c>
    </row>
    <row r="260">
      <c r="P260">
        <f>IF(AND(M260&lt;&gt;"",N260&lt;&gt;"",O260&lt;&gt;""),(M260+4*N260+O260)/6,"")</f>
        <v/>
      </c>
    </row>
    <row r="261">
      <c r="P261">
        <f>IF(AND(M261&lt;&gt;"",N261&lt;&gt;"",O261&lt;&gt;""),(M261+4*N261+O261)/6,"")</f>
        <v/>
      </c>
    </row>
    <row r="262">
      <c r="P262">
        <f>IF(AND(M262&lt;&gt;"",N262&lt;&gt;"",O262&lt;&gt;""),(M262+4*N262+O262)/6,"")</f>
        <v/>
      </c>
    </row>
    <row r="263">
      <c r="P263">
        <f>IF(AND(M263&lt;&gt;"",N263&lt;&gt;"",O263&lt;&gt;""),(M263+4*N263+O263)/6,"")</f>
        <v/>
      </c>
    </row>
    <row r="264">
      <c r="P264">
        <f>IF(AND(M264&lt;&gt;"",N264&lt;&gt;"",O264&lt;&gt;""),(M264+4*N264+O264)/6,"")</f>
        <v/>
      </c>
    </row>
    <row r="265">
      <c r="P265">
        <f>IF(AND(M265&lt;&gt;"",N265&lt;&gt;"",O265&lt;&gt;""),(M265+4*N265+O265)/6,"")</f>
        <v/>
      </c>
    </row>
    <row r="266">
      <c r="P266">
        <f>IF(AND(M266&lt;&gt;"",N266&lt;&gt;"",O266&lt;&gt;""),(M266+4*N266+O266)/6,"")</f>
        <v/>
      </c>
    </row>
    <row r="267">
      <c r="P267">
        <f>IF(AND(M267&lt;&gt;"",N267&lt;&gt;"",O267&lt;&gt;""),(M267+4*N267+O267)/6,"")</f>
        <v/>
      </c>
    </row>
    <row r="268">
      <c r="P268">
        <f>IF(AND(M268&lt;&gt;"",N268&lt;&gt;"",O268&lt;&gt;""),(M268+4*N268+O268)/6,"")</f>
        <v/>
      </c>
    </row>
    <row r="269">
      <c r="P269">
        <f>IF(AND(M269&lt;&gt;"",N269&lt;&gt;"",O269&lt;&gt;""),(M269+4*N269+O269)/6,"")</f>
        <v/>
      </c>
    </row>
    <row r="270">
      <c r="P270">
        <f>IF(AND(M270&lt;&gt;"",N270&lt;&gt;"",O270&lt;&gt;""),(M270+4*N270+O270)/6,"")</f>
        <v/>
      </c>
    </row>
    <row r="271">
      <c r="P271">
        <f>IF(AND(M271&lt;&gt;"",N271&lt;&gt;"",O271&lt;&gt;""),(M271+4*N271+O271)/6,"")</f>
        <v/>
      </c>
    </row>
    <row r="272">
      <c r="P272">
        <f>IF(AND(M272&lt;&gt;"",N272&lt;&gt;"",O272&lt;&gt;""),(M272+4*N272+O272)/6,"")</f>
        <v/>
      </c>
    </row>
    <row r="273">
      <c r="P273">
        <f>IF(AND(M273&lt;&gt;"",N273&lt;&gt;"",O273&lt;&gt;""),(M273+4*N273+O273)/6,"")</f>
        <v/>
      </c>
    </row>
    <row r="274">
      <c r="P274">
        <f>IF(AND(M274&lt;&gt;"",N274&lt;&gt;"",O274&lt;&gt;""),(M274+4*N274+O274)/6,"")</f>
        <v/>
      </c>
    </row>
    <row r="275">
      <c r="P275">
        <f>IF(AND(M275&lt;&gt;"",N275&lt;&gt;"",O275&lt;&gt;""),(M275+4*N275+O275)/6,"")</f>
        <v/>
      </c>
    </row>
    <row r="276">
      <c r="P276">
        <f>IF(AND(M276&lt;&gt;"",N276&lt;&gt;"",O276&lt;&gt;""),(M276+4*N276+O276)/6,"")</f>
        <v/>
      </c>
    </row>
    <row r="277">
      <c r="P277">
        <f>IF(AND(M277&lt;&gt;"",N277&lt;&gt;"",O277&lt;&gt;""),(M277+4*N277+O277)/6,"")</f>
        <v/>
      </c>
    </row>
    <row r="278">
      <c r="P278">
        <f>IF(AND(M278&lt;&gt;"",N278&lt;&gt;"",O278&lt;&gt;""),(M278+4*N278+O278)/6,"")</f>
        <v/>
      </c>
    </row>
    <row r="279">
      <c r="P279">
        <f>IF(AND(M279&lt;&gt;"",N279&lt;&gt;"",O279&lt;&gt;""),(M279+4*N279+O279)/6,"")</f>
        <v/>
      </c>
    </row>
    <row r="280">
      <c r="P280">
        <f>IF(AND(M280&lt;&gt;"",N280&lt;&gt;"",O280&lt;&gt;""),(M280+4*N280+O280)/6,"")</f>
        <v/>
      </c>
    </row>
    <row r="281">
      <c r="P281">
        <f>IF(AND(M281&lt;&gt;"",N281&lt;&gt;"",O281&lt;&gt;""),(M281+4*N281+O281)/6,"")</f>
        <v/>
      </c>
    </row>
    <row r="282">
      <c r="P282">
        <f>IF(AND(M282&lt;&gt;"",N282&lt;&gt;"",O282&lt;&gt;""),(M282+4*N282+O282)/6,"")</f>
        <v/>
      </c>
    </row>
    <row r="283">
      <c r="P283">
        <f>IF(AND(M283&lt;&gt;"",N283&lt;&gt;"",O283&lt;&gt;""),(M283+4*N283+O283)/6,"")</f>
        <v/>
      </c>
    </row>
    <row r="284">
      <c r="P284">
        <f>IF(AND(M284&lt;&gt;"",N284&lt;&gt;"",O284&lt;&gt;""),(M284+4*N284+O284)/6,"")</f>
        <v/>
      </c>
    </row>
    <row r="285">
      <c r="P285">
        <f>IF(AND(M285&lt;&gt;"",N285&lt;&gt;"",O285&lt;&gt;""),(M285+4*N285+O285)/6,"")</f>
        <v/>
      </c>
    </row>
    <row r="286">
      <c r="P286">
        <f>IF(AND(M286&lt;&gt;"",N286&lt;&gt;"",O286&lt;&gt;""),(M286+4*N286+O286)/6,"")</f>
        <v/>
      </c>
    </row>
    <row r="287">
      <c r="P287">
        <f>IF(AND(M287&lt;&gt;"",N287&lt;&gt;"",O287&lt;&gt;""),(M287+4*N287+O287)/6,"")</f>
        <v/>
      </c>
    </row>
    <row r="288">
      <c r="P288">
        <f>IF(AND(M288&lt;&gt;"",N288&lt;&gt;"",O288&lt;&gt;""),(M288+4*N288+O288)/6,"")</f>
        <v/>
      </c>
    </row>
    <row r="289">
      <c r="P289">
        <f>IF(AND(M289&lt;&gt;"",N289&lt;&gt;"",O289&lt;&gt;""),(M289+4*N289+O289)/6,"")</f>
        <v/>
      </c>
    </row>
    <row r="290">
      <c r="P290">
        <f>IF(AND(M290&lt;&gt;"",N290&lt;&gt;"",O290&lt;&gt;""),(M290+4*N290+O290)/6,"")</f>
        <v/>
      </c>
    </row>
    <row r="291">
      <c r="P291">
        <f>IF(AND(M291&lt;&gt;"",N291&lt;&gt;"",O291&lt;&gt;""),(M291+4*N291+O291)/6,"")</f>
        <v/>
      </c>
    </row>
    <row r="292">
      <c r="P292">
        <f>IF(AND(M292&lt;&gt;"",N292&lt;&gt;"",O292&lt;&gt;""),(M292+4*N292+O292)/6,"")</f>
        <v/>
      </c>
    </row>
    <row r="293">
      <c r="P293">
        <f>IF(AND(M293&lt;&gt;"",N293&lt;&gt;"",O293&lt;&gt;""),(M293+4*N293+O293)/6,"")</f>
        <v/>
      </c>
    </row>
    <row r="294">
      <c r="P294">
        <f>IF(AND(M294&lt;&gt;"",N294&lt;&gt;"",O294&lt;&gt;""),(M294+4*N294+O294)/6,"")</f>
        <v/>
      </c>
    </row>
    <row r="295">
      <c r="P295">
        <f>IF(AND(M295&lt;&gt;"",N295&lt;&gt;"",O295&lt;&gt;""),(M295+4*N295+O295)/6,"")</f>
        <v/>
      </c>
    </row>
    <row r="296">
      <c r="P296">
        <f>IF(AND(M296&lt;&gt;"",N296&lt;&gt;"",O296&lt;&gt;""),(M296+4*N296+O296)/6,"")</f>
        <v/>
      </c>
    </row>
    <row r="297">
      <c r="P297">
        <f>IF(AND(M297&lt;&gt;"",N297&lt;&gt;"",O297&lt;&gt;""),(M297+4*N297+O297)/6,"")</f>
        <v/>
      </c>
    </row>
    <row r="298">
      <c r="P298">
        <f>IF(AND(M298&lt;&gt;"",N298&lt;&gt;"",O298&lt;&gt;""),(M298+4*N298+O298)/6,"")</f>
        <v/>
      </c>
    </row>
    <row r="299">
      <c r="P299">
        <f>IF(AND(M299&lt;&gt;"",N299&lt;&gt;"",O299&lt;&gt;""),(M299+4*N299+O299)/6,"")</f>
        <v/>
      </c>
    </row>
    <row r="300">
      <c r="P300">
        <f>IF(AND(M300&lt;&gt;"",N300&lt;&gt;"",O300&lt;&gt;""),(M300+4*N300+O300)/6,"")</f>
        <v/>
      </c>
    </row>
    <row r="301">
      <c r="P301">
        <f>IF(AND(M301&lt;&gt;"",N301&lt;&gt;"",O301&lt;&gt;""),(M301+4*N301+O301)/6,"")</f>
        <v/>
      </c>
    </row>
    <row r="302">
      <c r="P302">
        <f>IF(AND(M302&lt;&gt;"",N302&lt;&gt;"",O302&lt;&gt;""),(M302+4*N302+O302)/6,"")</f>
        <v/>
      </c>
    </row>
    <row r="303">
      <c r="P303">
        <f>IF(AND(M303&lt;&gt;"",N303&lt;&gt;"",O303&lt;&gt;""),(M303+4*N303+O303)/6,"")</f>
        <v/>
      </c>
    </row>
    <row r="304">
      <c r="P304">
        <f>IF(AND(M304&lt;&gt;"",N304&lt;&gt;"",O304&lt;&gt;""),(M304+4*N304+O304)/6,"")</f>
        <v/>
      </c>
    </row>
    <row r="305">
      <c r="P305">
        <f>IF(AND(M305&lt;&gt;"",N305&lt;&gt;"",O305&lt;&gt;""),(M305+4*N305+O305)/6,"")</f>
        <v/>
      </c>
    </row>
    <row r="306">
      <c r="P306">
        <f>IF(AND(M306&lt;&gt;"",N306&lt;&gt;"",O306&lt;&gt;""),(M306+4*N306+O306)/6,"")</f>
        <v/>
      </c>
    </row>
    <row r="307">
      <c r="P307">
        <f>IF(AND(M307&lt;&gt;"",N307&lt;&gt;"",O307&lt;&gt;""),(M307+4*N307+O307)/6,"")</f>
        <v/>
      </c>
    </row>
    <row r="308">
      <c r="P308">
        <f>IF(AND(M308&lt;&gt;"",N308&lt;&gt;"",O308&lt;&gt;""),(M308+4*N308+O308)/6,"")</f>
        <v/>
      </c>
    </row>
    <row r="309">
      <c r="P309">
        <f>IF(AND(M309&lt;&gt;"",N309&lt;&gt;"",O309&lt;&gt;""),(M309+4*N309+O309)/6,"")</f>
        <v/>
      </c>
    </row>
    <row r="310">
      <c r="P310">
        <f>IF(AND(M310&lt;&gt;"",N310&lt;&gt;"",O310&lt;&gt;""),(M310+4*N310+O310)/6,"")</f>
        <v/>
      </c>
    </row>
    <row r="311">
      <c r="P311">
        <f>IF(AND(M311&lt;&gt;"",N311&lt;&gt;"",O311&lt;&gt;""),(M311+4*N311+O311)/6,"")</f>
        <v/>
      </c>
    </row>
    <row r="312">
      <c r="P312">
        <f>IF(AND(M312&lt;&gt;"",N312&lt;&gt;"",O312&lt;&gt;""),(M312+4*N312+O312)/6,"")</f>
        <v/>
      </c>
    </row>
    <row r="313">
      <c r="P313">
        <f>IF(AND(M313&lt;&gt;"",N313&lt;&gt;"",O313&lt;&gt;""),(M313+4*N313+O313)/6,"")</f>
        <v/>
      </c>
    </row>
    <row r="314">
      <c r="P314">
        <f>IF(AND(M314&lt;&gt;"",N314&lt;&gt;"",O314&lt;&gt;""),(M314+4*N314+O314)/6,"")</f>
        <v/>
      </c>
    </row>
    <row r="315">
      <c r="P315">
        <f>IF(AND(M315&lt;&gt;"",N315&lt;&gt;"",O315&lt;&gt;""),(M315+4*N315+O315)/6,"")</f>
        <v/>
      </c>
    </row>
    <row r="316">
      <c r="P316">
        <f>IF(AND(M316&lt;&gt;"",N316&lt;&gt;"",O316&lt;&gt;""),(M316+4*N316+O316)/6,"")</f>
        <v/>
      </c>
    </row>
    <row r="317">
      <c r="P317">
        <f>IF(AND(M317&lt;&gt;"",N317&lt;&gt;"",O317&lt;&gt;""),(M317+4*N317+O317)/6,"")</f>
        <v/>
      </c>
    </row>
    <row r="318">
      <c r="P318">
        <f>IF(AND(M318&lt;&gt;"",N318&lt;&gt;"",O318&lt;&gt;""),(M318+4*N318+O318)/6,"")</f>
        <v/>
      </c>
    </row>
    <row r="319">
      <c r="P319">
        <f>IF(AND(M319&lt;&gt;"",N319&lt;&gt;"",O319&lt;&gt;""),(M319+4*N319+O319)/6,"")</f>
        <v/>
      </c>
    </row>
    <row r="320">
      <c r="P320">
        <f>IF(AND(M320&lt;&gt;"",N320&lt;&gt;"",O320&lt;&gt;""),(M320+4*N320+O320)/6,"")</f>
        <v/>
      </c>
    </row>
    <row r="321">
      <c r="P321">
        <f>IF(AND(M321&lt;&gt;"",N321&lt;&gt;"",O321&lt;&gt;""),(M321+4*N321+O321)/6,"")</f>
        <v/>
      </c>
    </row>
    <row r="322">
      <c r="P322">
        <f>IF(AND(M322&lt;&gt;"",N322&lt;&gt;"",O322&lt;&gt;""),(M322+4*N322+O322)/6,"")</f>
        <v/>
      </c>
    </row>
    <row r="323">
      <c r="P323">
        <f>IF(AND(M323&lt;&gt;"",N323&lt;&gt;"",O323&lt;&gt;""),(M323+4*N323+O323)/6,"")</f>
        <v/>
      </c>
    </row>
    <row r="324">
      <c r="P324">
        <f>IF(AND(M324&lt;&gt;"",N324&lt;&gt;"",O324&lt;&gt;""),(M324+4*N324+O324)/6,"")</f>
        <v/>
      </c>
    </row>
    <row r="325">
      <c r="P325">
        <f>IF(AND(M325&lt;&gt;"",N325&lt;&gt;"",O325&lt;&gt;""),(M325+4*N325+O325)/6,"")</f>
        <v/>
      </c>
    </row>
    <row r="326">
      <c r="P326">
        <f>IF(AND(M326&lt;&gt;"",N326&lt;&gt;"",O326&lt;&gt;""),(M326+4*N326+O326)/6,"")</f>
        <v/>
      </c>
    </row>
    <row r="327">
      <c r="P327">
        <f>IF(AND(M327&lt;&gt;"",N327&lt;&gt;"",O327&lt;&gt;""),(M327+4*N327+O327)/6,"")</f>
        <v/>
      </c>
    </row>
    <row r="328">
      <c r="P328">
        <f>IF(AND(M328&lt;&gt;"",N328&lt;&gt;"",O328&lt;&gt;""),(M328+4*N328+O328)/6,"")</f>
        <v/>
      </c>
    </row>
    <row r="329">
      <c r="P329">
        <f>IF(AND(M329&lt;&gt;"",N329&lt;&gt;"",O329&lt;&gt;""),(M329+4*N329+O329)/6,"")</f>
        <v/>
      </c>
    </row>
    <row r="330">
      <c r="P330">
        <f>IF(AND(M330&lt;&gt;"",N330&lt;&gt;"",O330&lt;&gt;""),(M330+4*N330+O330)/6,"")</f>
        <v/>
      </c>
    </row>
    <row r="331">
      <c r="P331">
        <f>IF(AND(M331&lt;&gt;"",N331&lt;&gt;"",O331&lt;&gt;""),(M331+4*N331+O331)/6,"")</f>
        <v/>
      </c>
    </row>
    <row r="332">
      <c r="P332">
        <f>IF(AND(M332&lt;&gt;"",N332&lt;&gt;"",O332&lt;&gt;""),(M332+4*N332+O332)/6,"")</f>
        <v/>
      </c>
    </row>
    <row r="333">
      <c r="P333">
        <f>IF(AND(M333&lt;&gt;"",N333&lt;&gt;"",O333&lt;&gt;""),(M333+4*N333+O333)/6,"")</f>
        <v/>
      </c>
    </row>
    <row r="334">
      <c r="P334">
        <f>IF(AND(M334&lt;&gt;"",N334&lt;&gt;"",O334&lt;&gt;""),(M334+4*N334+O334)/6,"")</f>
        <v/>
      </c>
    </row>
    <row r="335">
      <c r="P335">
        <f>IF(AND(M335&lt;&gt;"",N335&lt;&gt;"",O335&lt;&gt;""),(M335+4*N335+O335)/6,"")</f>
        <v/>
      </c>
    </row>
    <row r="336">
      <c r="P336">
        <f>IF(AND(M336&lt;&gt;"",N336&lt;&gt;"",O336&lt;&gt;""),(M336+4*N336+O336)/6,"")</f>
        <v/>
      </c>
    </row>
    <row r="337">
      <c r="P337">
        <f>IF(AND(M337&lt;&gt;"",N337&lt;&gt;"",O337&lt;&gt;""),(M337+4*N337+O337)/6,"")</f>
        <v/>
      </c>
    </row>
    <row r="338">
      <c r="P338">
        <f>IF(AND(M338&lt;&gt;"",N338&lt;&gt;"",O338&lt;&gt;""),(M338+4*N338+O338)/6,"")</f>
        <v/>
      </c>
    </row>
    <row r="339">
      <c r="P339">
        <f>IF(AND(M339&lt;&gt;"",N339&lt;&gt;"",O339&lt;&gt;""),(M339+4*N339+O339)/6,"")</f>
        <v/>
      </c>
    </row>
    <row r="340">
      <c r="P340">
        <f>IF(AND(M340&lt;&gt;"",N340&lt;&gt;"",O340&lt;&gt;""),(M340+4*N340+O340)/6,"")</f>
        <v/>
      </c>
    </row>
    <row r="341">
      <c r="P341">
        <f>IF(AND(M341&lt;&gt;"",N341&lt;&gt;"",O341&lt;&gt;""),(M341+4*N341+O341)/6,"")</f>
        <v/>
      </c>
    </row>
    <row r="342">
      <c r="P342">
        <f>IF(AND(M342&lt;&gt;"",N342&lt;&gt;"",O342&lt;&gt;""),(M342+4*N342+O342)/6,"")</f>
        <v/>
      </c>
    </row>
    <row r="343">
      <c r="P343">
        <f>IF(AND(M343&lt;&gt;"",N343&lt;&gt;"",O343&lt;&gt;""),(M343+4*N343+O343)/6,"")</f>
        <v/>
      </c>
    </row>
    <row r="344">
      <c r="P344">
        <f>IF(AND(M344&lt;&gt;"",N344&lt;&gt;"",O344&lt;&gt;""),(M344+4*N344+O344)/6,"")</f>
        <v/>
      </c>
    </row>
    <row r="345">
      <c r="P345">
        <f>IF(AND(M345&lt;&gt;"",N345&lt;&gt;"",O345&lt;&gt;""),(M345+4*N345+O345)/6,"")</f>
        <v/>
      </c>
    </row>
    <row r="346">
      <c r="P346">
        <f>IF(AND(M346&lt;&gt;"",N346&lt;&gt;"",O346&lt;&gt;""),(M346+4*N346+O346)/6,"")</f>
        <v/>
      </c>
    </row>
    <row r="347">
      <c r="P347">
        <f>IF(AND(M347&lt;&gt;"",N347&lt;&gt;"",O347&lt;&gt;""),(M347+4*N347+O347)/6,"")</f>
        <v/>
      </c>
    </row>
    <row r="348">
      <c r="P348">
        <f>IF(AND(M348&lt;&gt;"",N348&lt;&gt;"",O348&lt;&gt;""),(M348+4*N348+O348)/6,"")</f>
        <v/>
      </c>
    </row>
    <row r="349">
      <c r="P349">
        <f>IF(AND(M349&lt;&gt;"",N349&lt;&gt;"",O349&lt;&gt;""),(M349+4*N349+O349)/6,"")</f>
        <v/>
      </c>
    </row>
    <row r="350">
      <c r="P350">
        <f>IF(AND(M350&lt;&gt;"",N350&lt;&gt;"",O350&lt;&gt;""),(M350+4*N350+O350)/6,"")</f>
        <v/>
      </c>
    </row>
    <row r="351">
      <c r="P351">
        <f>IF(AND(M351&lt;&gt;"",N351&lt;&gt;"",O351&lt;&gt;""),(M351+4*N351+O351)/6,"")</f>
        <v/>
      </c>
    </row>
    <row r="352">
      <c r="P352">
        <f>IF(AND(M352&lt;&gt;"",N352&lt;&gt;"",O352&lt;&gt;""),(M352+4*N352+O352)/6,"")</f>
        <v/>
      </c>
    </row>
    <row r="353">
      <c r="P353">
        <f>IF(AND(M353&lt;&gt;"",N353&lt;&gt;"",O353&lt;&gt;""),(M353+4*N353+O353)/6,"")</f>
        <v/>
      </c>
    </row>
    <row r="354">
      <c r="P354">
        <f>IF(AND(M354&lt;&gt;"",N354&lt;&gt;"",O354&lt;&gt;""),(M354+4*N354+O354)/6,"")</f>
        <v/>
      </c>
    </row>
    <row r="355">
      <c r="P355">
        <f>IF(AND(M355&lt;&gt;"",N355&lt;&gt;"",O355&lt;&gt;""),(M355+4*N355+O355)/6,"")</f>
        <v/>
      </c>
    </row>
    <row r="356">
      <c r="P356">
        <f>IF(AND(M356&lt;&gt;"",N356&lt;&gt;"",O356&lt;&gt;""),(M356+4*N356+O356)/6,"")</f>
        <v/>
      </c>
    </row>
    <row r="357">
      <c r="P357">
        <f>IF(AND(M357&lt;&gt;"",N357&lt;&gt;"",O357&lt;&gt;""),(M357+4*N357+O357)/6,"")</f>
        <v/>
      </c>
    </row>
    <row r="358">
      <c r="P358">
        <f>IF(AND(M358&lt;&gt;"",N358&lt;&gt;"",O358&lt;&gt;""),(M358+4*N358+O358)/6,"")</f>
        <v/>
      </c>
    </row>
    <row r="359">
      <c r="P359">
        <f>IF(AND(M359&lt;&gt;"",N359&lt;&gt;"",O359&lt;&gt;""),(M359+4*N359+O359)/6,"")</f>
        <v/>
      </c>
    </row>
    <row r="360">
      <c r="P360">
        <f>IF(AND(M360&lt;&gt;"",N360&lt;&gt;"",O360&lt;&gt;""),(M360+4*N360+O360)/6,"")</f>
        <v/>
      </c>
    </row>
    <row r="361">
      <c r="P361">
        <f>IF(AND(M361&lt;&gt;"",N361&lt;&gt;"",O361&lt;&gt;""),(M361+4*N361+O361)/6,"")</f>
        <v/>
      </c>
    </row>
    <row r="362">
      <c r="P362">
        <f>IF(AND(M362&lt;&gt;"",N362&lt;&gt;"",O362&lt;&gt;""),(M362+4*N362+O362)/6,"")</f>
        <v/>
      </c>
    </row>
    <row r="363">
      <c r="P363">
        <f>IF(AND(M363&lt;&gt;"",N363&lt;&gt;"",O363&lt;&gt;""),(M363+4*N363+O363)/6,"")</f>
        <v/>
      </c>
    </row>
    <row r="364">
      <c r="P364">
        <f>IF(AND(M364&lt;&gt;"",N364&lt;&gt;"",O364&lt;&gt;""),(M364+4*N364+O364)/6,"")</f>
        <v/>
      </c>
    </row>
    <row r="365">
      <c r="P365">
        <f>IF(AND(M365&lt;&gt;"",N365&lt;&gt;"",O365&lt;&gt;""),(M365+4*N365+O365)/6,"")</f>
        <v/>
      </c>
    </row>
    <row r="366">
      <c r="P366">
        <f>IF(AND(M366&lt;&gt;"",N366&lt;&gt;"",O366&lt;&gt;""),(M366+4*N366+O366)/6,"")</f>
        <v/>
      </c>
    </row>
    <row r="367">
      <c r="P367">
        <f>IF(AND(M367&lt;&gt;"",N367&lt;&gt;"",O367&lt;&gt;""),(M367+4*N367+O367)/6,"")</f>
        <v/>
      </c>
    </row>
    <row r="368">
      <c r="P368">
        <f>IF(AND(M368&lt;&gt;"",N368&lt;&gt;"",O368&lt;&gt;""),(M368+4*N368+O368)/6,"")</f>
        <v/>
      </c>
    </row>
    <row r="369">
      <c r="P369">
        <f>IF(AND(M369&lt;&gt;"",N369&lt;&gt;"",O369&lt;&gt;""),(M369+4*N369+O369)/6,"")</f>
        <v/>
      </c>
    </row>
    <row r="370">
      <c r="P370">
        <f>IF(AND(M370&lt;&gt;"",N370&lt;&gt;"",O370&lt;&gt;""),(M370+4*N370+O370)/6,"")</f>
        <v/>
      </c>
    </row>
    <row r="371">
      <c r="P371">
        <f>IF(AND(M371&lt;&gt;"",N371&lt;&gt;"",O371&lt;&gt;""),(M371+4*N371+O371)/6,"")</f>
        <v/>
      </c>
    </row>
    <row r="372">
      <c r="P372">
        <f>IF(AND(M372&lt;&gt;"",N372&lt;&gt;"",O372&lt;&gt;""),(M372+4*N372+O372)/6,"")</f>
        <v/>
      </c>
    </row>
    <row r="373">
      <c r="P373">
        <f>IF(AND(M373&lt;&gt;"",N373&lt;&gt;"",O373&lt;&gt;""),(M373+4*N373+O373)/6,"")</f>
        <v/>
      </c>
    </row>
    <row r="374">
      <c r="P374">
        <f>IF(AND(M374&lt;&gt;"",N374&lt;&gt;"",O374&lt;&gt;""),(M374+4*N374+O374)/6,"")</f>
        <v/>
      </c>
    </row>
    <row r="375">
      <c r="P375">
        <f>IF(AND(M375&lt;&gt;"",N375&lt;&gt;"",O375&lt;&gt;""),(M375+4*N375+O375)/6,"")</f>
        <v/>
      </c>
    </row>
    <row r="376">
      <c r="P376">
        <f>IF(AND(M376&lt;&gt;"",N376&lt;&gt;"",O376&lt;&gt;""),(M376+4*N376+O376)/6,"")</f>
        <v/>
      </c>
    </row>
    <row r="377">
      <c r="P377">
        <f>IF(AND(M377&lt;&gt;"",N377&lt;&gt;"",O377&lt;&gt;""),(M377+4*N377+O377)/6,"")</f>
        <v/>
      </c>
    </row>
    <row r="378">
      <c r="P378">
        <f>IF(AND(M378&lt;&gt;"",N378&lt;&gt;"",O378&lt;&gt;""),(M378+4*N378+O378)/6,"")</f>
        <v/>
      </c>
    </row>
    <row r="379">
      <c r="P379">
        <f>IF(AND(M379&lt;&gt;"",N379&lt;&gt;"",O379&lt;&gt;""),(M379+4*N379+O379)/6,"")</f>
        <v/>
      </c>
    </row>
    <row r="380">
      <c r="P380">
        <f>IF(AND(M380&lt;&gt;"",N380&lt;&gt;"",O380&lt;&gt;""),(M380+4*N380+O380)/6,"")</f>
        <v/>
      </c>
    </row>
    <row r="381">
      <c r="P381">
        <f>IF(AND(M381&lt;&gt;"",N381&lt;&gt;"",O381&lt;&gt;""),(M381+4*N381+O381)/6,"")</f>
        <v/>
      </c>
    </row>
    <row r="382">
      <c r="P382">
        <f>IF(AND(M382&lt;&gt;"",N382&lt;&gt;"",O382&lt;&gt;""),(M382+4*N382+O382)/6,"")</f>
        <v/>
      </c>
    </row>
    <row r="383">
      <c r="P383">
        <f>IF(AND(M383&lt;&gt;"",N383&lt;&gt;"",O383&lt;&gt;""),(M383+4*N383+O383)/6,"")</f>
        <v/>
      </c>
    </row>
    <row r="384">
      <c r="P384">
        <f>IF(AND(M384&lt;&gt;"",N384&lt;&gt;"",O384&lt;&gt;""),(M384+4*N384+O384)/6,"")</f>
        <v/>
      </c>
    </row>
    <row r="385">
      <c r="P385">
        <f>IF(AND(M385&lt;&gt;"",N385&lt;&gt;"",O385&lt;&gt;""),(M385+4*N385+O385)/6,"")</f>
        <v/>
      </c>
    </row>
    <row r="386">
      <c r="P386">
        <f>IF(AND(M386&lt;&gt;"",N386&lt;&gt;"",O386&lt;&gt;""),(M386+4*N386+O386)/6,"")</f>
        <v/>
      </c>
    </row>
    <row r="387">
      <c r="P387">
        <f>IF(AND(M387&lt;&gt;"",N387&lt;&gt;"",O387&lt;&gt;""),(M387+4*N387+O387)/6,"")</f>
        <v/>
      </c>
    </row>
    <row r="388">
      <c r="P388">
        <f>IF(AND(M388&lt;&gt;"",N388&lt;&gt;"",O388&lt;&gt;""),(M388+4*N388+O388)/6,"")</f>
        <v/>
      </c>
    </row>
    <row r="389">
      <c r="P389">
        <f>IF(AND(M389&lt;&gt;"",N389&lt;&gt;"",O389&lt;&gt;""),(M389+4*N389+O389)/6,"")</f>
        <v/>
      </c>
    </row>
    <row r="390">
      <c r="P390">
        <f>IF(AND(M390&lt;&gt;"",N390&lt;&gt;"",O390&lt;&gt;""),(M390+4*N390+O390)/6,"")</f>
        <v/>
      </c>
    </row>
    <row r="391">
      <c r="P391">
        <f>IF(AND(M391&lt;&gt;"",N391&lt;&gt;"",O391&lt;&gt;""),(M391+4*N391+O391)/6,"")</f>
        <v/>
      </c>
    </row>
    <row r="392">
      <c r="P392">
        <f>IF(AND(M392&lt;&gt;"",N392&lt;&gt;"",O392&lt;&gt;""),(M392+4*N392+O392)/6,"")</f>
        <v/>
      </c>
    </row>
    <row r="393">
      <c r="P393">
        <f>IF(AND(M393&lt;&gt;"",N393&lt;&gt;"",O393&lt;&gt;""),(M393+4*N393+O393)/6,"")</f>
        <v/>
      </c>
    </row>
    <row r="394">
      <c r="P394">
        <f>IF(AND(M394&lt;&gt;"",N394&lt;&gt;"",O394&lt;&gt;""),(M394+4*N394+O394)/6,"")</f>
        <v/>
      </c>
    </row>
    <row r="395">
      <c r="P395">
        <f>IF(AND(M395&lt;&gt;"",N395&lt;&gt;"",O395&lt;&gt;""),(M395+4*N395+O395)/6,"")</f>
        <v/>
      </c>
    </row>
    <row r="396">
      <c r="P396">
        <f>IF(AND(M396&lt;&gt;"",N396&lt;&gt;"",O396&lt;&gt;""),(M396+4*N396+O396)/6,"")</f>
        <v/>
      </c>
    </row>
    <row r="397">
      <c r="P397">
        <f>IF(AND(M397&lt;&gt;"",N397&lt;&gt;"",O397&lt;&gt;""),(M397+4*N397+O397)/6,"")</f>
        <v/>
      </c>
    </row>
    <row r="398">
      <c r="P398">
        <f>IF(AND(M398&lt;&gt;"",N398&lt;&gt;"",O398&lt;&gt;""),(M398+4*N398+O398)/6,"")</f>
        <v/>
      </c>
    </row>
    <row r="399">
      <c r="P399">
        <f>IF(AND(M399&lt;&gt;"",N399&lt;&gt;"",O399&lt;&gt;""),(M399+4*N399+O399)/6,"")</f>
        <v/>
      </c>
    </row>
    <row r="400">
      <c r="P400">
        <f>IF(AND(M400&lt;&gt;"",N400&lt;&gt;"",O400&lt;&gt;""),(M400+4*N400+O400)/6,"")</f>
        <v/>
      </c>
    </row>
    <row r="401">
      <c r="P401">
        <f>IF(AND(M401&lt;&gt;"",N401&lt;&gt;"",O401&lt;&gt;""),(M401+4*N401+O401)/6,"")</f>
        <v/>
      </c>
    </row>
    <row r="402">
      <c r="P402">
        <f>IF(AND(M402&lt;&gt;"",N402&lt;&gt;"",O402&lt;&gt;""),(M402+4*N402+O402)/6,"")</f>
        <v/>
      </c>
    </row>
    <row r="403">
      <c r="P403">
        <f>IF(AND(M403&lt;&gt;"",N403&lt;&gt;"",O403&lt;&gt;""),(M403+4*N403+O403)/6,"")</f>
        <v/>
      </c>
    </row>
    <row r="404">
      <c r="P404">
        <f>IF(AND(M404&lt;&gt;"",N404&lt;&gt;"",O404&lt;&gt;""),(M404+4*N404+O404)/6,"")</f>
        <v/>
      </c>
    </row>
    <row r="405">
      <c r="P405">
        <f>IF(AND(M405&lt;&gt;"",N405&lt;&gt;"",O405&lt;&gt;""),(M405+4*N405+O405)/6,"")</f>
        <v/>
      </c>
    </row>
    <row r="406">
      <c r="P406">
        <f>IF(AND(M406&lt;&gt;"",N406&lt;&gt;"",O406&lt;&gt;""),(M406+4*N406+O406)/6,"")</f>
        <v/>
      </c>
    </row>
    <row r="407">
      <c r="P407">
        <f>IF(AND(M407&lt;&gt;"",N407&lt;&gt;"",O407&lt;&gt;""),(M407+4*N407+O407)/6,"")</f>
        <v/>
      </c>
    </row>
    <row r="408">
      <c r="P408">
        <f>IF(AND(M408&lt;&gt;"",N408&lt;&gt;"",O408&lt;&gt;""),(M408+4*N408+O408)/6,"")</f>
        <v/>
      </c>
    </row>
    <row r="409">
      <c r="P409">
        <f>IF(AND(M409&lt;&gt;"",N409&lt;&gt;"",O409&lt;&gt;""),(M409+4*N409+O409)/6,"")</f>
        <v/>
      </c>
    </row>
    <row r="410">
      <c r="P410">
        <f>IF(AND(M410&lt;&gt;"",N410&lt;&gt;"",O410&lt;&gt;""),(M410+4*N410+O410)/6,"")</f>
        <v/>
      </c>
    </row>
    <row r="411">
      <c r="P411">
        <f>IF(AND(M411&lt;&gt;"",N411&lt;&gt;"",O411&lt;&gt;""),(M411+4*N411+O411)/6,"")</f>
        <v/>
      </c>
    </row>
    <row r="412">
      <c r="P412">
        <f>IF(AND(M412&lt;&gt;"",N412&lt;&gt;"",O412&lt;&gt;""),(M412+4*N412+O412)/6,"")</f>
        <v/>
      </c>
    </row>
    <row r="413">
      <c r="P413">
        <f>IF(AND(M413&lt;&gt;"",N413&lt;&gt;"",O413&lt;&gt;""),(M413+4*N413+O413)/6,"")</f>
        <v/>
      </c>
    </row>
    <row r="414">
      <c r="P414">
        <f>IF(AND(M414&lt;&gt;"",N414&lt;&gt;"",O414&lt;&gt;""),(M414+4*N414+O414)/6,"")</f>
        <v/>
      </c>
    </row>
    <row r="415">
      <c r="P415">
        <f>IF(AND(M415&lt;&gt;"",N415&lt;&gt;"",O415&lt;&gt;""),(M415+4*N415+O415)/6,"")</f>
        <v/>
      </c>
    </row>
    <row r="416">
      <c r="P416">
        <f>IF(AND(M416&lt;&gt;"",N416&lt;&gt;"",O416&lt;&gt;""),(M416+4*N416+O416)/6,"")</f>
        <v/>
      </c>
    </row>
    <row r="417">
      <c r="P417">
        <f>IF(AND(M417&lt;&gt;"",N417&lt;&gt;"",O417&lt;&gt;""),(M417+4*N417+O417)/6,"")</f>
        <v/>
      </c>
    </row>
    <row r="418">
      <c r="P418">
        <f>IF(AND(M418&lt;&gt;"",N418&lt;&gt;"",O418&lt;&gt;""),(M418+4*N418+O418)/6,"")</f>
        <v/>
      </c>
    </row>
    <row r="419">
      <c r="P419">
        <f>IF(AND(M419&lt;&gt;"",N419&lt;&gt;"",O419&lt;&gt;""),(M419+4*N419+O419)/6,"")</f>
        <v/>
      </c>
    </row>
    <row r="420">
      <c r="P420">
        <f>IF(AND(M420&lt;&gt;"",N420&lt;&gt;"",O420&lt;&gt;""),(M420+4*N420+O420)/6,"")</f>
        <v/>
      </c>
    </row>
    <row r="421">
      <c r="P421">
        <f>IF(AND(M421&lt;&gt;"",N421&lt;&gt;"",O421&lt;&gt;""),(M421+4*N421+O421)/6,"")</f>
        <v/>
      </c>
    </row>
    <row r="422">
      <c r="P422">
        <f>IF(AND(M422&lt;&gt;"",N422&lt;&gt;"",O422&lt;&gt;""),(M422+4*N422+O422)/6,"")</f>
        <v/>
      </c>
    </row>
    <row r="423">
      <c r="P423">
        <f>IF(AND(M423&lt;&gt;"",N423&lt;&gt;"",O423&lt;&gt;""),(M423+4*N423+O423)/6,"")</f>
        <v/>
      </c>
    </row>
    <row r="424">
      <c r="P424">
        <f>IF(AND(M424&lt;&gt;"",N424&lt;&gt;"",O424&lt;&gt;""),(M424+4*N424+O424)/6,"")</f>
        <v/>
      </c>
    </row>
    <row r="425">
      <c r="P425">
        <f>IF(AND(M425&lt;&gt;"",N425&lt;&gt;"",O425&lt;&gt;""),(M425+4*N425+O425)/6,"")</f>
        <v/>
      </c>
    </row>
    <row r="426">
      <c r="P426">
        <f>IF(AND(M426&lt;&gt;"",N426&lt;&gt;"",O426&lt;&gt;""),(M426+4*N426+O426)/6,"")</f>
        <v/>
      </c>
    </row>
    <row r="427">
      <c r="P427">
        <f>IF(AND(M427&lt;&gt;"",N427&lt;&gt;"",O427&lt;&gt;""),(M427+4*N427+O427)/6,"")</f>
        <v/>
      </c>
    </row>
    <row r="428">
      <c r="P428">
        <f>IF(AND(M428&lt;&gt;"",N428&lt;&gt;"",O428&lt;&gt;""),(M428+4*N428+O428)/6,"")</f>
        <v/>
      </c>
    </row>
    <row r="429">
      <c r="P429">
        <f>IF(AND(M429&lt;&gt;"",N429&lt;&gt;"",O429&lt;&gt;""),(M429+4*N429+O429)/6,"")</f>
        <v/>
      </c>
    </row>
    <row r="430">
      <c r="P430">
        <f>IF(AND(M430&lt;&gt;"",N430&lt;&gt;"",O430&lt;&gt;""),(M430+4*N430+O430)/6,"")</f>
        <v/>
      </c>
    </row>
    <row r="431">
      <c r="P431">
        <f>IF(AND(M431&lt;&gt;"",N431&lt;&gt;"",O431&lt;&gt;""),(M431+4*N431+O431)/6,"")</f>
        <v/>
      </c>
    </row>
    <row r="432">
      <c r="P432">
        <f>IF(AND(M432&lt;&gt;"",N432&lt;&gt;"",O432&lt;&gt;""),(M432+4*N432+O432)/6,"")</f>
        <v/>
      </c>
    </row>
    <row r="433">
      <c r="P433">
        <f>IF(AND(M433&lt;&gt;"",N433&lt;&gt;"",O433&lt;&gt;""),(M433+4*N433+O433)/6,"")</f>
        <v/>
      </c>
    </row>
    <row r="434">
      <c r="P434">
        <f>IF(AND(M434&lt;&gt;"",N434&lt;&gt;"",O434&lt;&gt;""),(M434+4*N434+O434)/6,"")</f>
        <v/>
      </c>
    </row>
    <row r="435">
      <c r="P435">
        <f>IF(AND(M435&lt;&gt;"",N435&lt;&gt;"",O435&lt;&gt;""),(M435+4*N435+O435)/6,"")</f>
        <v/>
      </c>
    </row>
    <row r="436">
      <c r="P436">
        <f>IF(AND(M436&lt;&gt;"",N436&lt;&gt;"",O436&lt;&gt;""),(M436+4*N436+O436)/6,"")</f>
        <v/>
      </c>
    </row>
    <row r="437">
      <c r="P437">
        <f>IF(AND(M437&lt;&gt;"",N437&lt;&gt;"",O437&lt;&gt;""),(M437+4*N437+O437)/6,"")</f>
        <v/>
      </c>
    </row>
    <row r="438">
      <c r="P438">
        <f>IF(AND(M438&lt;&gt;"",N438&lt;&gt;"",O438&lt;&gt;""),(M438+4*N438+O438)/6,"")</f>
        <v/>
      </c>
    </row>
    <row r="439">
      <c r="P439">
        <f>IF(AND(M439&lt;&gt;"",N439&lt;&gt;"",O439&lt;&gt;""),(M439+4*N439+O439)/6,"")</f>
        <v/>
      </c>
    </row>
    <row r="440">
      <c r="P440">
        <f>IF(AND(M440&lt;&gt;"",N440&lt;&gt;"",O440&lt;&gt;""),(M440+4*N440+O440)/6,"")</f>
        <v/>
      </c>
    </row>
    <row r="441">
      <c r="P441">
        <f>IF(AND(M441&lt;&gt;"",N441&lt;&gt;"",O441&lt;&gt;""),(M441+4*N441+O441)/6,"")</f>
        <v/>
      </c>
    </row>
    <row r="442">
      <c r="P442">
        <f>IF(AND(M442&lt;&gt;"",N442&lt;&gt;"",O442&lt;&gt;""),(M442+4*N442+O442)/6,"")</f>
        <v/>
      </c>
    </row>
    <row r="443">
      <c r="P443">
        <f>IF(AND(M443&lt;&gt;"",N443&lt;&gt;"",O443&lt;&gt;""),(M443+4*N443+O443)/6,"")</f>
        <v/>
      </c>
    </row>
    <row r="444">
      <c r="P444">
        <f>IF(AND(M444&lt;&gt;"",N444&lt;&gt;"",O444&lt;&gt;""),(M444+4*N444+O444)/6,"")</f>
        <v/>
      </c>
    </row>
    <row r="445">
      <c r="P445">
        <f>IF(AND(M445&lt;&gt;"",N445&lt;&gt;"",O445&lt;&gt;""),(M445+4*N445+O445)/6,"")</f>
        <v/>
      </c>
    </row>
    <row r="446">
      <c r="P446">
        <f>IF(AND(M446&lt;&gt;"",N446&lt;&gt;"",O446&lt;&gt;""),(M446+4*N446+O446)/6,"")</f>
        <v/>
      </c>
    </row>
    <row r="447">
      <c r="P447">
        <f>IF(AND(M447&lt;&gt;"",N447&lt;&gt;"",O447&lt;&gt;""),(M447+4*N447+O447)/6,"")</f>
        <v/>
      </c>
    </row>
    <row r="448">
      <c r="P448">
        <f>IF(AND(M448&lt;&gt;"",N448&lt;&gt;"",O448&lt;&gt;""),(M448+4*N448+O448)/6,"")</f>
        <v/>
      </c>
    </row>
    <row r="449">
      <c r="P449">
        <f>IF(AND(M449&lt;&gt;"",N449&lt;&gt;"",O449&lt;&gt;""),(M449+4*N449+O449)/6,"")</f>
        <v/>
      </c>
    </row>
    <row r="450">
      <c r="P450">
        <f>IF(AND(M450&lt;&gt;"",N450&lt;&gt;"",O450&lt;&gt;""),(M450+4*N450+O450)/6,"")</f>
        <v/>
      </c>
    </row>
    <row r="451">
      <c r="P451">
        <f>IF(AND(M451&lt;&gt;"",N451&lt;&gt;"",O451&lt;&gt;""),(M451+4*N451+O451)/6,"")</f>
        <v/>
      </c>
    </row>
    <row r="452">
      <c r="P452">
        <f>IF(AND(M452&lt;&gt;"",N452&lt;&gt;"",O452&lt;&gt;""),(M452+4*N452+O452)/6,"")</f>
        <v/>
      </c>
    </row>
    <row r="453">
      <c r="P453">
        <f>IF(AND(M453&lt;&gt;"",N453&lt;&gt;"",O453&lt;&gt;""),(M453+4*N453+O453)/6,"")</f>
        <v/>
      </c>
    </row>
    <row r="454">
      <c r="P454">
        <f>IF(AND(M454&lt;&gt;"",N454&lt;&gt;"",O454&lt;&gt;""),(M454+4*N454+O454)/6,"")</f>
        <v/>
      </c>
    </row>
    <row r="455">
      <c r="P455">
        <f>IF(AND(M455&lt;&gt;"",N455&lt;&gt;"",O455&lt;&gt;""),(M455+4*N455+O455)/6,"")</f>
        <v/>
      </c>
    </row>
    <row r="456">
      <c r="P456">
        <f>IF(AND(M456&lt;&gt;"",N456&lt;&gt;"",O456&lt;&gt;""),(M456+4*N456+O456)/6,"")</f>
        <v/>
      </c>
    </row>
    <row r="457">
      <c r="P457">
        <f>IF(AND(M457&lt;&gt;"",N457&lt;&gt;"",O457&lt;&gt;""),(M457+4*N457+O457)/6,"")</f>
        <v/>
      </c>
    </row>
    <row r="458">
      <c r="P458">
        <f>IF(AND(M458&lt;&gt;"",N458&lt;&gt;"",O458&lt;&gt;""),(M458+4*N458+O458)/6,"")</f>
        <v/>
      </c>
    </row>
    <row r="459">
      <c r="P459">
        <f>IF(AND(M459&lt;&gt;"",N459&lt;&gt;"",O459&lt;&gt;""),(M459+4*N459+O459)/6,"")</f>
        <v/>
      </c>
    </row>
    <row r="460">
      <c r="P460">
        <f>IF(AND(M460&lt;&gt;"",N460&lt;&gt;"",O460&lt;&gt;""),(M460+4*N460+O460)/6,"")</f>
        <v/>
      </c>
    </row>
    <row r="461">
      <c r="P461">
        <f>IF(AND(M461&lt;&gt;"",N461&lt;&gt;"",O461&lt;&gt;""),(M461+4*N461+O461)/6,"")</f>
        <v/>
      </c>
    </row>
    <row r="462">
      <c r="P462">
        <f>IF(AND(M462&lt;&gt;"",N462&lt;&gt;"",O462&lt;&gt;""),(M462+4*N462+O462)/6,"")</f>
        <v/>
      </c>
    </row>
    <row r="463">
      <c r="P463">
        <f>IF(AND(M463&lt;&gt;"",N463&lt;&gt;"",O463&lt;&gt;""),(M463+4*N463+O463)/6,"")</f>
        <v/>
      </c>
    </row>
    <row r="464">
      <c r="P464">
        <f>IF(AND(M464&lt;&gt;"",N464&lt;&gt;"",O464&lt;&gt;""),(M464+4*N464+O464)/6,"")</f>
        <v/>
      </c>
    </row>
    <row r="465">
      <c r="P465">
        <f>IF(AND(M465&lt;&gt;"",N465&lt;&gt;"",O465&lt;&gt;""),(M465+4*N465+O465)/6,"")</f>
        <v/>
      </c>
    </row>
    <row r="466">
      <c r="P466">
        <f>IF(AND(M466&lt;&gt;"",N466&lt;&gt;"",O466&lt;&gt;""),(M466+4*N466+O466)/6,"")</f>
        <v/>
      </c>
    </row>
    <row r="467">
      <c r="P467">
        <f>IF(AND(M467&lt;&gt;"",N467&lt;&gt;"",O467&lt;&gt;""),(M467+4*N467+O467)/6,"")</f>
        <v/>
      </c>
    </row>
    <row r="468">
      <c r="P468">
        <f>IF(AND(M468&lt;&gt;"",N468&lt;&gt;"",O468&lt;&gt;""),(M468+4*N468+O468)/6,"")</f>
        <v/>
      </c>
    </row>
    <row r="469">
      <c r="P469">
        <f>IF(AND(M469&lt;&gt;"",N469&lt;&gt;"",O469&lt;&gt;""),(M469+4*N469+O469)/6,"")</f>
        <v/>
      </c>
    </row>
    <row r="470">
      <c r="P470">
        <f>IF(AND(M470&lt;&gt;"",N470&lt;&gt;"",O470&lt;&gt;""),(M470+4*N470+O470)/6,"")</f>
        <v/>
      </c>
    </row>
    <row r="471">
      <c r="P471">
        <f>IF(AND(M471&lt;&gt;"",N471&lt;&gt;"",O471&lt;&gt;""),(M471+4*N471+O471)/6,"")</f>
        <v/>
      </c>
    </row>
    <row r="472">
      <c r="P472">
        <f>IF(AND(M472&lt;&gt;"",N472&lt;&gt;"",O472&lt;&gt;""),(M472+4*N472+O472)/6,"")</f>
        <v/>
      </c>
    </row>
    <row r="473">
      <c r="P473">
        <f>IF(AND(M473&lt;&gt;"",N473&lt;&gt;"",O473&lt;&gt;""),(M473+4*N473+O473)/6,"")</f>
        <v/>
      </c>
    </row>
    <row r="474">
      <c r="P474">
        <f>IF(AND(M474&lt;&gt;"",N474&lt;&gt;"",O474&lt;&gt;""),(M474+4*N474+O474)/6,"")</f>
        <v/>
      </c>
    </row>
    <row r="475">
      <c r="P475">
        <f>IF(AND(M475&lt;&gt;"",N475&lt;&gt;"",O475&lt;&gt;""),(M475+4*N475+O475)/6,"")</f>
        <v/>
      </c>
    </row>
    <row r="476">
      <c r="P476">
        <f>IF(AND(M476&lt;&gt;"",N476&lt;&gt;"",O476&lt;&gt;""),(M476+4*N476+O476)/6,"")</f>
        <v/>
      </c>
    </row>
    <row r="477">
      <c r="P477">
        <f>IF(AND(M477&lt;&gt;"",N477&lt;&gt;"",O477&lt;&gt;""),(M477+4*N477+O477)/6,"")</f>
        <v/>
      </c>
    </row>
    <row r="478">
      <c r="P478">
        <f>IF(AND(M478&lt;&gt;"",N478&lt;&gt;"",O478&lt;&gt;""),(M478+4*N478+O478)/6,"")</f>
        <v/>
      </c>
    </row>
    <row r="479">
      <c r="P479">
        <f>IF(AND(M479&lt;&gt;"",N479&lt;&gt;"",O479&lt;&gt;""),(M479+4*N479+O479)/6,"")</f>
        <v/>
      </c>
    </row>
    <row r="480">
      <c r="P480">
        <f>IF(AND(M480&lt;&gt;"",N480&lt;&gt;"",O480&lt;&gt;""),(M480+4*N480+O480)/6,"")</f>
        <v/>
      </c>
    </row>
    <row r="481">
      <c r="P481">
        <f>IF(AND(M481&lt;&gt;"",N481&lt;&gt;"",O481&lt;&gt;""),(M481+4*N481+O481)/6,"")</f>
        <v/>
      </c>
    </row>
    <row r="482">
      <c r="P482">
        <f>IF(AND(M482&lt;&gt;"",N482&lt;&gt;"",O482&lt;&gt;""),(M482+4*N482+O482)/6,"")</f>
        <v/>
      </c>
    </row>
    <row r="483">
      <c r="P483">
        <f>IF(AND(M483&lt;&gt;"",N483&lt;&gt;"",O483&lt;&gt;""),(M483+4*N483+O483)/6,"")</f>
        <v/>
      </c>
    </row>
    <row r="484">
      <c r="P484">
        <f>IF(AND(M484&lt;&gt;"",N484&lt;&gt;"",O484&lt;&gt;""),(M484+4*N484+O484)/6,"")</f>
        <v/>
      </c>
    </row>
    <row r="485">
      <c r="P485">
        <f>IF(AND(M485&lt;&gt;"",N485&lt;&gt;"",O485&lt;&gt;""),(M485+4*N485+O485)/6,"")</f>
        <v/>
      </c>
    </row>
    <row r="486">
      <c r="P486">
        <f>IF(AND(M486&lt;&gt;"",N486&lt;&gt;"",O486&lt;&gt;""),(M486+4*N486+O486)/6,"")</f>
        <v/>
      </c>
    </row>
    <row r="487">
      <c r="P487">
        <f>IF(AND(M487&lt;&gt;"",N487&lt;&gt;"",O487&lt;&gt;""),(M487+4*N487+O487)/6,"")</f>
        <v/>
      </c>
    </row>
    <row r="488">
      <c r="P488">
        <f>IF(AND(M488&lt;&gt;"",N488&lt;&gt;"",O488&lt;&gt;""),(M488+4*N488+O488)/6,"")</f>
        <v/>
      </c>
    </row>
    <row r="489">
      <c r="P489">
        <f>IF(AND(M489&lt;&gt;"",N489&lt;&gt;"",O489&lt;&gt;""),(M489+4*N489+O489)/6,"")</f>
        <v/>
      </c>
    </row>
    <row r="490">
      <c r="P490">
        <f>IF(AND(M490&lt;&gt;"",N490&lt;&gt;"",O490&lt;&gt;""),(M490+4*N490+O490)/6,"")</f>
        <v/>
      </c>
    </row>
    <row r="491">
      <c r="P491">
        <f>IF(AND(M491&lt;&gt;"",N491&lt;&gt;"",O491&lt;&gt;""),(M491+4*N491+O491)/6,"")</f>
        <v/>
      </c>
    </row>
    <row r="492">
      <c r="P492">
        <f>IF(AND(M492&lt;&gt;"",N492&lt;&gt;"",O492&lt;&gt;""),(M492+4*N492+O492)/6,"")</f>
        <v/>
      </c>
    </row>
    <row r="493">
      <c r="P493">
        <f>IF(AND(M493&lt;&gt;"",N493&lt;&gt;"",O493&lt;&gt;""),(M493+4*N493+O493)/6,"")</f>
        <v/>
      </c>
    </row>
    <row r="494">
      <c r="P494">
        <f>IF(AND(M494&lt;&gt;"",N494&lt;&gt;"",O494&lt;&gt;""),(M494+4*N494+O494)/6,"")</f>
        <v/>
      </c>
    </row>
    <row r="495">
      <c r="P495">
        <f>IF(AND(M495&lt;&gt;"",N495&lt;&gt;"",O495&lt;&gt;""),(M495+4*N495+O495)/6,"")</f>
        <v/>
      </c>
    </row>
    <row r="496">
      <c r="P496">
        <f>IF(AND(M496&lt;&gt;"",N496&lt;&gt;"",O496&lt;&gt;""),(M496+4*N496+O496)/6,"")</f>
        <v/>
      </c>
    </row>
    <row r="497">
      <c r="P497">
        <f>IF(AND(M497&lt;&gt;"",N497&lt;&gt;"",O497&lt;&gt;""),(M497+4*N497+O497)/6,"")</f>
        <v/>
      </c>
    </row>
    <row r="498">
      <c r="P498">
        <f>IF(AND(M498&lt;&gt;"",N498&lt;&gt;"",O498&lt;&gt;""),(M498+4*N498+O498)/6,"")</f>
        <v/>
      </c>
    </row>
    <row r="499">
      <c r="P499">
        <f>IF(AND(M499&lt;&gt;"",N499&lt;&gt;"",O499&lt;&gt;""),(M499+4*N499+O499)/6,"")</f>
        <v/>
      </c>
    </row>
    <row r="500">
      <c r="P500">
        <f>IF(AND(M500&lt;&gt;"",N500&lt;&gt;"",O500&lt;&gt;""),(M500+4*N500+O500)/6,"")</f>
        <v/>
      </c>
    </row>
  </sheetData>
  <autoFilter ref="A1:V1"/>
  <dataValidations count="4">
    <dataValidation sqref="H2:H500" showDropDown="0" showInputMessage="0" showErrorMessage="0" allowBlank="1" type="list">
      <formula1>=Listas!$C$2:$C$9</formula1>
    </dataValidation>
    <dataValidation sqref="J2:J500" showDropDown="0" showInputMessage="0" showErrorMessage="0" allowBlank="1" type="list">
      <formula1>=Listas!$A$2:$A$5</formula1>
    </dataValidation>
    <dataValidation sqref="L2:L500" showDropDown="0" showInputMessage="0" showErrorMessage="0" allowBlank="1" type="list">
      <formula1>=Listas!$D$2:$D$7</formula1>
    </dataValidation>
    <dataValidation sqref="U2:U500" showDropDown="0" showInputMessage="0" showErrorMessage="0" allowBlank="1" type="list">
      <formula1>=Listas!$B$2:$B$5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4" customWidth="1" min="4" max="4"/>
    <col width="19" customWidth="1" min="5" max="5"/>
    <col width="17" customWidth="1" min="6" max="6"/>
    <col width="19" customWidth="1" min="7" max="7"/>
    <col width="19" customWidth="1" min="8" max="8"/>
    <col width="14" customWidth="1" min="9" max="9"/>
    <col width="25" customWidth="1" min="10" max="10"/>
    <col width="19" customWidth="1" min="11" max="11"/>
  </cols>
  <sheetData>
    <row r="1" ht="30" customHeight="1">
      <c r="A1" s="1" t="inlineStr">
        <is>
          <t>ID da Estimativa</t>
        </is>
      </c>
      <c r="B1" s="1" t="inlineStr">
        <is>
          <t>Funcionalidade / Entrega</t>
        </is>
      </c>
      <c r="C1" s="1" t="inlineStr">
        <is>
          <t>Estimativa Inicial</t>
        </is>
      </c>
      <c r="D1" s="1" t="inlineStr">
        <is>
          <t>Unidade</t>
        </is>
      </c>
      <c r="E1" s="1" t="inlineStr">
        <is>
          <t>Esforço Realizado</t>
        </is>
      </c>
      <c r="F1" s="1" t="inlineStr">
        <is>
          <t>Desvio Absoluto</t>
        </is>
      </c>
      <c r="G1" s="1" t="inlineStr">
        <is>
          <t>Desvio Percentual</t>
        </is>
      </c>
      <c r="H1" s="1" t="inlineStr">
        <is>
          <t>Data de Conclusão</t>
        </is>
      </c>
      <c r="I1" s="1" t="inlineStr">
        <is>
          <t>Responsável</t>
        </is>
      </c>
      <c r="J1" s="1" t="inlineStr">
        <is>
          <t>Justificativa do Desvio</t>
        </is>
      </c>
      <c r="K1" s="1" t="inlineStr">
        <is>
          <t>Lições Aprendidas</t>
        </is>
      </c>
    </row>
    <row r="2">
      <c r="F2">
        <f>IF(AND(C2&lt;&gt;"",E2&lt;&gt;""),E2-C2,"")</f>
        <v/>
      </c>
      <c r="G2">
        <f>IF(AND(C2&lt;&gt;"",C2&lt;&gt;0,E2&lt;&gt;""),(E2-C2)/C2*100,"")</f>
        <v/>
      </c>
    </row>
    <row r="3">
      <c r="F3">
        <f>IF(AND(C3&lt;&gt;"",E3&lt;&gt;""),E3-C3,"")</f>
        <v/>
      </c>
      <c r="G3">
        <f>IF(AND(C3&lt;&gt;"",C3&lt;&gt;0,E3&lt;&gt;""),(E3-C3)/C3*100,"")</f>
        <v/>
      </c>
    </row>
    <row r="4">
      <c r="F4">
        <f>IF(AND(C4&lt;&gt;"",E4&lt;&gt;""),E4-C4,"")</f>
        <v/>
      </c>
      <c r="G4">
        <f>IF(AND(C4&lt;&gt;"",C4&lt;&gt;0,E4&lt;&gt;""),(E4-C4)/C4*100,"")</f>
        <v/>
      </c>
    </row>
    <row r="5">
      <c r="F5">
        <f>IF(AND(C5&lt;&gt;"",E5&lt;&gt;""),E5-C5,"")</f>
        <v/>
      </c>
      <c r="G5">
        <f>IF(AND(C5&lt;&gt;"",C5&lt;&gt;0,E5&lt;&gt;""),(E5-C5)/C5*100,"")</f>
        <v/>
      </c>
    </row>
    <row r="6">
      <c r="F6">
        <f>IF(AND(C6&lt;&gt;"",E6&lt;&gt;""),E6-C6,"")</f>
        <v/>
      </c>
      <c r="G6">
        <f>IF(AND(C6&lt;&gt;"",C6&lt;&gt;0,E6&lt;&gt;""),(E6-C6)/C6*100,"")</f>
        <v/>
      </c>
    </row>
    <row r="7">
      <c r="F7">
        <f>IF(AND(C7&lt;&gt;"",E7&lt;&gt;""),E7-C7,"")</f>
        <v/>
      </c>
      <c r="G7">
        <f>IF(AND(C7&lt;&gt;"",C7&lt;&gt;0,E7&lt;&gt;""),(E7-C7)/C7*100,"")</f>
        <v/>
      </c>
    </row>
    <row r="8">
      <c r="F8">
        <f>IF(AND(C8&lt;&gt;"",E8&lt;&gt;""),E8-C8,"")</f>
        <v/>
      </c>
      <c r="G8">
        <f>IF(AND(C8&lt;&gt;"",C8&lt;&gt;0,E8&lt;&gt;""),(E8-C8)/C8*100,"")</f>
        <v/>
      </c>
    </row>
    <row r="9">
      <c r="F9">
        <f>IF(AND(C9&lt;&gt;"",E9&lt;&gt;""),E9-C9,"")</f>
        <v/>
      </c>
      <c r="G9">
        <f>IF(AND(C9&lt;&gt;"",C9&lt;&gt;0,E9&lt;&gt;""),(E9-C9)/C9*100,"")</f>
        <v/>
      </c>
    </row>
    <row r="10">
      <c r="F10">
        <f>IF(AND(C10&lt;&gt;"",E10&lt;&gt;""),E10-C10,"")</f>
        <v/>
      </c>
      <c r="G10">
        <f>IF(AND(C10&lt;&gt;"",C10&lt;&gt;0,E10&lt;&gt;""),(E10-C10)/C10*100,"")</f>
        <v/>
      </c>
    </row>
    <row r="11">
      <c r="F11">
        <f>IF(AND(C11&lt;&gt;"",E11&lt;&gt;""),E11-C11,"")</f>
        <v/>
      </c>
      <c r="G11">
        <f>IF(AND(C11&lt;&gt;"",C11&lt;&gt;0,E11&lt;&gt;""),(E11-C11)/C11*100,"")</f>
        <v/>
      </c>
    </row>
    <row r="12">
      <c r="F12">
        <f>IF(AND(C12&lt;&gt;"",E12&lt;&gt;""),E12-C12,"")</f>
        <v/>
      </c>
      <c r="G12">
        <f>IF(AND(C12&lt;&gt;"",C12&lt;&gt;0,E12&lt;&gt;""),(E12-C12)/C12*100,"")</f>
        <v/>
      </c>
    </row>
    <row r="13">
      <c r="F13">
        <f>IF(AND(C13&lt;&gt;"",E13&lt;&gt;""),E13-C13,"")</f>
        <v/>
      </c>
      <c r="G13">
        <f>IF(AND(C13&lt;&gt;"",C13&lt;&gt;0,E13&lt;&gt;""),(E13-C13)/C13*100,"")</f>
        <v/>
      </c>
    </row>
    <row r="14">
      <c r="F14">
        <f>IF(AND(C14&lt;&gt;"",E14&lt;&gt;""),E14-C14,"")</f>
        <v/>
      </c>
      <c r="G14">
        <f>IF(AND(C14&lt;&gt;"",C14&lt;&gt;0,E14&lt;&gt;""),(E14-C14)/C14*100,"")</f>
        <v/>
      </c>
    </row>
    <row r="15">
      <c r="F15">
        <f>IF(AND(C15&lt;&gt;"",E15&lt;&gt;""),E15-C15,"")</f>
        <v/>
      </c>
      <c r="G15">
        <f>IF(AND(C15&lt;&gt;"",C15&lt;&gt;0,E15&lt;&gt;""),(E15-C15)/C15*100,"")</f>
        <v/>
      </c>
    </row>
    <row r="16">
      <c r="F16">
        <f>IF(AND(C16&lt;&gt;"",E16&lt;&gt;""),E16-C16,"")</f>
        <v/>
      </c>
      <c r="G16">
        <f>IF(AND(C16&lt;&gt;"",C16&lt;&gt;0,E16&lt;&gt;""),(E16-C16)/C16*100,"")</f>
        <v/>
      </c>
    </row>
    <row r="17">
      <c r="F17">
        <f>IF(AND(C17&lt;&gt;"",E17&lt;&gt;""),E17-C17,"")</f>
        <v/>
      </c>
      <c r="G17">
        <f>IF(AND(C17&lt;&gt;"",C17&lt;&gt;0,E17&lt;&gt;""),(E17-C17)/C17*100,"")</f>
        <v/>
      </c>
    </row>
    <row r="18">
      <c r="F18">
        <f>IF(AND(C18&lt;&gt;"",E18&lt;&gt;""),E18-C18,"")</f>
        <v/>
      </c>
      <c r="G18">
        <f>IF(AND(C18&lt;&gt;"",C18&lt;&gt;0,E18&lt;&gt;""),(E18-C18)/C18*100,"")</f>
        <v/>
      </c>
    </row>
    <row r="19">
      <c r="F19">
        <f>IF(AND(C19&lt;&gt;"",E19&lt;&gt;""),E19-C19,"")</f>
        <v/>
      </c>
      <c r="G19">
        <f>IF(AND(C19&lt;&gt;"",C19&lt;&gt;0,E19&lt;&gt;""),(E19-C19)/C19*100,"")</f>
        <v/>
      </c>
    </row>
    <row r="20">
      <c r="F20">
        <f>IF(AND(C20&lt;&gt;"",E20&lt;&gt;""),E20-C20,"")</f>
        <v/>
      </c>
      <c r="G20">
        <f>IF(AND(C20&lt;&gt;"",C20&lt;&gt;0,E20&lt;&gt;""),(E20-C20)/C20*100,"")</f>
        <v/>
      </c>
    </row>
    <row r="21">
      <c r="F21">
        <f>IF(AND(C21&lt;&gt;"",E21&lt;&gt;""),E21-C21,"")</f>
        <v/>
      </c>
      <c r="G21">
        <f>IF(AND(C21&lt;&gt;"",C21&lt;&gt;0,E21&lt;&gt;""),(E21-C21)/C21*100,"")</f>
        <v/>
      </c>
    </row>
    <row r="22">
      <c r="F22">
        <f>IF(AND(C22&lt;&gt;"",E22&lt;&gt;""),E22-C22,"")</f>
        <v/>
      </c>
      <c r="G22">
        <f>IF(AND(C22&lt;&gt;"",C22&lt;&gt;0,E22&lt;&gt;""),(E22-C22)/C22*100,"")</f>
        <v/>
      </c>
    </row>
    <row r="23">
      <c r="F23">
        <f>IF(AND(C23&lt;&gt;"",E23&lt;&gt;""),E23-C23,"")</f>
        <v/>
      </c>
      <c r="G23">
        <f>IF(AND(C23&lt;&gt;"",C23&lt;&gt;0,E23&lt;&gt;""),(E23-C23)/C23*100,"")</f>
        <v/>
      </c>
    </row>
    <row r="24">
      <c r="F24">
        <f>IF(AND(C24&lt;&gt;"",E24&lt;&gt;""),E24-C24,"")</f>
        <v/>
      </c>
      <c r="G24">
        <f>IF(AND(C24&lt;&gt;"",C24&lt;&gt;0,E24&lt;&gt;""),(E24-C24)/C24*100,"")</f>
        <v/>
      </c>
    </row>
    <row r="25">
      <c r="F25">
        <f>IF(AND(C25&lt;&gt;"",E25&lt;&gt;""),E25-C25,"")</f>
        <v/>
      </c>
      <c r="G25">
        <f>IF(AND(C25&lt;&gt;"",C25&lt;&gt;0,E25&lt;&gt;""),(E25-C25)/C25*100,"")</f>
        <v/>
      </c>
    </row>
    <row r="26">
      <c r="F26">
        <f>IF(AND(C26&lt;&gt;"",E26&lt;&gt;""),E26-C26,"")</f>
        <v/>
      </c>
      <c r="G26">
        <f>IF(AND(C26&lt;&gt;"",C26&lt;&gt;0,E26&lt;&gt;""),(E26-C26)/C26*100,"")</f>
        <v/>
      </c>
    </row>
    <row r="27">
      <c r="F27">
        <f>IF(AND(C27&lt;&gt;"",E27&lt;&gt;""),E27-C27,"")</f>
        <v/>
      </c>
      <c r="G27">
        <f>IF(AND(C27&lt;&gt;"",C27&lt;&gt;0,E27&lt;&gt;""),(E27-C27)/C27*100,"")</f>
        <v/>
      </c>
    </row>
    <row r="28">
      <c r="F28">
        <f>IF(AND(C28&lt;&gt;"",E28&lt;&gt;""),E28-C28,"")</f>
        <v/>
      </c>
      <c r="G28">
        <f>IF(AND(C28&lt;&gt;"",C28&lt;&gt;0,E28&lt;&gt;""),(E28-C28)/C28*100,"")</f>
        <v/>
      </c>
    </row>
    <row r="29">
      <c r="F29">
        <f>IF(AND(C29&lt;&gt;"",E29&lt;&gt;""),E29-C29,"")</f>
        <v/>
      </c>
      <c r="G29">
        <f>IF(AND(C29&lt;&gt;"",C29&lt;&gt;0,E29&lt;&gt;""),(E29-C29)/C29*100,"")</f>
        <v/>
      </c>
    </row>
    <row r="30">
      <c r="F30">
        <f>IF(AND(C30&lt;&gt;"",E30&lt;&gt;""),E30-C30,"")</f>
        <v/>
      </c>
      <c r="G30">
        <f>IF(AND(C30&lt;&gt;"",C30&lt;&gt;0,E30&lt;&gt;""),(E30-C30)/C30*100,"")</f>
        <v/>
      </c>
    </row>
    <row r="31">
      <c r="F31">
        <f>IF(AND(C31&lt;&gt;"",E31&lt;&gt;""),E31-C31,"")</f>
        <v/>
      </c>
      <c r="G31">
        <f>IF(AND(C31&lt;&gt;"",C31&lt;&gt;0,E31&lt;&gt;""),(E31-C31)/C31*100,"")</f>
        <v/>
      </c>
    </row>
    <row r="32">
      <c r="F32">
        <f>IF(AND(C32&lt;&gt;"",E32&lt;&gt;""),E32-C32,"")</f>
        <v/>
      </c>
      <c r="G32">
        <f>IF(AND(C32&lt;&gt;"",C32&lt;&gt;0,E32&lt;&gt;""),(E32-C32)/C32*100,"")</f>
        <v/>
      </c>
    </row>
    <row r="33">
      <c r="F33">
        <f>IF(AND(C33&lt;&gt;"",E33&lt;&gt;""),E33-C33,"")</f>
        <v/>
      </c>
      <c r="G33">
        <f>IF(AND(C33&lt;&gt;"",C33&lt;&gt;0,E33&lt;&gt;""),(E33-C33)/C33*100,"")</f>
        <v/>
      </c>
    </row>
    <row r="34">
      <c r="F34">
        <f>IF(AND(C34&lt;&gt;"",E34&lt;&gt;""),E34-C34,"")</f>
        <v/>
      </c>
      <c r="G34">
        <f>IF(AND(C34&lt;&gt;"",C34&lt;&gt;0,E34&lt;&gt;""),(E34-C34)/C34*100,"")</f>
        <v/>
      </c>
    </row>
    <row r="35">
      <c r="F35">
        <f>IF(AND(C35&lt;&gt;"",E35&lt;&gt;""),E35-C35,"")</f>
        <v/>
      </c>
      <c r="G35">
        <f>IF(AND(C35&lt;&gt;"",C35&lt;&gt;0,E35&lt;&gt;""),(E35-C35)/C35*100,"")</f>
        <v/>
      </c>
    </row>
    <row r="36">
      <c r="F36">
        <f>IF(AND(C36&lt;&gt;"",E36&lt;&gt;""),E36-C36,"")</f>
        <v/>
      </c>
      <c r="G36">
        <f>IF(AND(C36&lt;&gt;"",C36&lt;&gt;0,E36&lt;&gt;""),(E36-C36)/C36*100,"")</f>
        <v/>
      </c>
    </row>
    <row r="37">
      <c r="F37">
        <f>IF(AND(C37&lt;&gt;"",E37&lt;&gt;""),E37-C37,"")</f>
        <v/>
      </c>
      <c r="G37">
        <f>IF(AND(C37&lt;&gt;"",C37&lt;&gt;0,E37&lt;&gt;""),(E37-C37)/C37*100,"")</f>
        <v/>
      </c>
    </row>
    <row r="38">
      <c r="F38">
        <f>IF(AND(C38&lt;&gt;"",E38&lt;&gt;""),E38-C38,"")</f>
        <v/>
      </c>
      <c r="G38">
        <f>IF(AND(C38&lt;&gt;"",C38&lt;&gt;0,E38&lt;&gt;""),(E38-C38)/C38*100,"")</f>
        <v/>
      </c>
    </row>
    <row r="39">
      <c r="F39">
        <f>IF(AND(C39&lt;&gt;"",E39&lt;&gt;""),E39-C39,"")</f>
        <v/>
      </c>
      <c r="G39">
        <f>IF(AND(C39&lt;&gt;"",C39&lt;&gt;0,E39&lt;&gt;""),(E39-C39)/C39*100,"")</f>
        <v/>
      </c>
    </row>
    <row r="40">
      <c r="F40">
        <f>IF(AND(C40&lt;&gt;"",E40&lt;&gt;""),E40-C40,"")</f>
        <v/>
      </c>
      <c r="G40">
        <f>IF(AND(C40&lt;&gt;"",C40&lt;&gt;0,E40&lt;&gt;""),(E40-C40)/C40*100,"")</f>
        <v/>
      </c>
    </row>
    <row r="41">
      <c r="F41">
        <f>IF(AND(C41&lt;&gt;"",E41&lt;&gt;""),E41-C41,"")</f>
        <v/>
      </c>
      <c r="G41">
        <f>IF(AND(C41&lt;&gt;"",C41&lt;&gt;0,E41&lt;&gt;""),(E41-C41)/C41*100,"")</f>
        <v/>
      </c>
    </row>
    <row r="42">
      <c r="F42">
        <f>IF(AND(C42&lt;&gt;"",E42&lt;&gt;""),E42-C42,"")</f>
        <v/>
      </c>
      <c r="G42">
        <f>IF(AND(C42&lt;&gt;"",C42&lt;&gt;0,E42&lt;&gt;""),(E42-C42)/C42*100,"")</f>
        <v/>
      </c>
    </row>
    <row r="43">
      <c r="F43">
        <f>IF(AND(C43&lt;&gt;"",E43&lt;&gt;""),E43-C43,"")</f>
        <v/>
      </c>
      <c r="G43">
        <f>IF(AND(C43&lt;&gt;"",C43&lt;&gt;0,E43&lt;&gt;""),(E43-C43)/C43*100,"")</f>
        <v/>
      </c>
    </row>
    <row r="44">
      <c r="F44">
        <f>IF(AND(C44&lt;&gt;"",E44&lt;&gt;""),E44-C44,"")</f>
        <v/>
      </c>
      <c r="G44">
        <f>IF(AND(C44&lt;&gt;"",C44&lt;&gt;0,E44&lt;&gt;""),(E44-C44)/C44*100,"")</f>
        <v/>
      </c>
    </row>
    <row r="45">
      <c r="F45">
        <f>IF(AND(C45&lt;&gt;"",E45&lt;&gt;""),E45-C45,"")</f>
        <v/>
      </c>
      <c r="G45">
        <f>IF(AND(C45&lt;&gt;"",C45&lt;&gt;0,E45&lt;&gt;""),(E45-C45)/C45*100,"")</f>
        <v/>
      </c>
    </row>
    <row r="46">
      <c r="F46">
        <f>IF(AND(C46&lt;&gt;"",E46&lt;&gt;""),E46-C46,"")</f>
        <v/>
      </c>
      <c r="G46">
        <f>IF(AND(C46&lt;&gt;"",C46&lt;&gt;0,E46&lt;&gt;""),(E46-C46)/C46*100,"")</f>
        <v/>
      </c>
    </row>
    <row r="47">
      <c r="F47">
        <f>IF(AND(C47&lt;&gt;"",E47&lt;&gt;""),E47-C47,"")</f>
        <v/>
      </c>
      <c r="G47">
        <f>IF(AND(C47&lt;&gt;"",C47&lt;&gt;0,E47&lt;&gt;""),(E47-C47)/C47*100,"")</f>
        <v/>
      </c>
    </row>
    <row r="48">
      <c r="F48">
        <f>IF(AND(C48&lt;&gt;"",E48&lt;&gt;""),E48-C48,"")</f>
        <v/>
      </c>
      <c r="G48">
        <f>IF(AND(C48&lt;&gt;"",C48&lt;&gt;0,E48&lt;&gt;""),(E48-C48)/C48*100,"")</f>
        <v/>
      </c>
    </row>
    <row r="49">
      <c r="F49">
        <f>IF(AND(C49&lt;&gt;"",E49&lt;&gt;""),E49-C49,"")</f>
        <v/>
      </c>
      <c r="G49">
        <f>IF(AND(C49&lt;&gt;"",C49&lt;&gt;0,E49&lt;&gt;""),(E49-C49)/C49*100,"")</f>
        <v/>
      </c>
    </row>
    <row r="50">
      <c r="F50">
        <f>IF(AND(C50&lt;&gt;"",E50&lt;&gt;""),E50-C50,"")</f>
        <v/>
      </c>
      <c r="G50">
        <f>IF(AND(C50&lt;&gt;"",C50&lt;&gt;0,E50&lt;&gt;""),(E50-C50)/C50*100,"")</f>
        <v/>
      </c>
    </row>
    <row r="51">
      <c r="F51">
        <f>IF(AND(C51&lt;&gt;"",E51&lt;&gt;""),E51-C51,"")</f>
        <v/>
      </c>
      <c r="G51">
        <f>IF(AND(C51&lt;&gt;"",C51&lt;&gt;0,E51&lt;&gt;""),(E51-C51)/C51*100,"")</f>
        <v/>
      </c>
    </row>
    <row r="52">
      <c r="F52">
        <f>IF(AND(C52&lt;&gt;"",E52&lt;&gt;""),E52-C52,"")</f>
        <v/>
      </c>
      <c r="G52">
        <f>IF(AND(C52&lt;&gt;"",C52&lt;&gt;0,E52&lt;&gt;""),(E52-C52)/C52*100,"")</f>
        <v/>
      </c>
    </row>
    <row r="53">
      <c r="F53">
        <f>IF(AND(C53&lt;&gt;"",E53&lt;&gt;""),E53-C53,"")</f>
        <v/>
      </c>
      <c r="G53">
        <f>IF(AND(C53&lt;&gt;"",C53&lt;&gt;0,E53&lt;&gt;""),(E53-C53)/C53*100,"")</f>
        <v/>
      </c>
    </row>
    <row r="54">
      <c r="F54">
        <f>IF(AND(C54&lt;&gt;"",E54&lt;&gt;""),E54-C54,"")</f>
        <v/>
      </c>
      <c r="G54">
        <f>IF(AND(C54&lt;&gt;"",C54&lt;&gt;0,E54&lt;&gt;""),(E54-C54)/C54*100,"")</f>
        <v/>
      </c>
    </row>
    <row r="55">
      <c r="F55">
        <f>IF(AND(C55&lt;&gt;"",E55&lt;&gt;""),E55-C55,"")</f>
        <v/>
      </c>
      <c r="G55">
        <f>IF(AND(C55&lt;&gt;"",C55&lt;&gt;0,E55&lt;&gt;""),(E55-C55)/C55*100,"")</f>
        <v/>
      </c>
    </row>
    <row r="56">
      <c r="F56">
        <f>IF(AND(C56&lt;&gt;"",E56&lt;&gt;""),E56-C56,"")</f>
        <v/>
      </c>
      <c r="G56">
        <f>IF(AND(C56&lt;&gt;"",C56&lt;&gt;0,E56&lt;&gt;""),(E56-C56)/C56*100,"")</f>
        <v/>
      </c>
    </row>
    <row r="57">
      <c r="F57">
        <f>IF(AND(C57&lt;&gt;"",E57&lt;&gt;""),E57-C57,"")</f>
        <v/>
      </c>
      <c r="G57">
        <f>IF(AND(C57&lt;&gt;"",C57&lt;&gt;0,E57&lt;&gt;""),(E57-C57)/C57*100,"")</f>
        <v/>
      </c>
    </row>
    <row r="58">
      <c r="F58">
        <f>IF(AND(C58&lt;&gt;"",E58&lt;&gt;""),E58-C58,"")</f>
        <v/>
      </c>
      <c r="G58">
        <f>IF(AND(C58&lt;&gt;"",C58&lt;&gt;0,E58&lt;&gt;""),(E58-C58)/C58*100,"")</f>
        <v/>
      </c>
    </row>
    <row r="59">
      <c r="F59">
        <f>IF(AND(C59&lt;&gt;"",E59&lt;&gt;""),E59-C59,"")</f>
        <v/>
      </c>
      <c r="G59">
        <f>IF(AND(C59&lt;&gt;"",C59&lt;&gt;0,E59&lt;&gt;""),(E59-C59)/C59*100,"")</f>
        <v/>
      </c>
    </row>
    <row r="60">
      <c r="F60">
        <f>IF(AND(C60&lt;&gt;"",E60&lt;&gt;""),E60-C60,"")</f>
        <v/>
      </c>
      <c r="G60">
        <f>IF(AND(C60&lt;&gt;"",C60&lt;&gt;0,E60&lt;&gt;""),(E60-C60)/C60*100,"")</f>
        <v/>
      </c>
    </row>
    <row r="61">
      <c r="F61">
        <f>IF(AND(C61&lt;&gt;"",E61&lt;&gt;""),E61-C61,"")</f>
        <v/>
      </c>
      <c r="G61">
        <f>IF(AND(C61&lt;&gt;"",C61&lt;&gt;0,E61&lt;&gt;""),(E61-C61)/C61*100,"")</f>
        <v/>
      </c>
    </row>
    <row r="62">
      <c r="F62">
        <f>IF(AND(C62&lt;&gt;"",E62&lt;&gt;""),E62-C62,"")</f>
        <v/>
      </c>
      <c r="G62">
        <f>IF(AND(C62&lt;&gt;"",C62&lt;&gt;0,E62&lt;&gt;""),(E62-C62)/C62*100,"")</f>
        <v/>
      </c>
    </row>
    <row r="63">
      <c r="F63">
        <f>IF(AND(C63&lt;&gt;"",E63&lt;&gt;""),E63-C63,"")</f>
        <v/>
      </c>
      <c r="G63">
        <f>IF(AND(C63&lt;&gt;"",C63&lt;&gt;0,E63&lt;&gt;""),(E63-C63)/C63*100,"")</f>
        <v/>
      </c>
    </row>
    <row r="64">
      <c r="F64">
        <f>IF(AND(C64&lt;&gt;"",E64&lt;&gt;""),E64-C64,"")</f>
        <v/>
      </c>
      <c r="G64">
        <f>IF(AND(C64&lt;&gt;"",C64&lt;&gt;0,E64&lt;&gt;""),(E64-C64)/C64*100,"")</f>
        <v/>
      </c>
    </row>
    <row r="65">
      <c r="F65">
        <f>IF(AND(C65&lt;&gt;"",E65&lt;&gt;""),E65-C65,"")</f>
        <v/>
      </c>
      <c r="G65">
        <f>IF(AND(C65&lt;&gt;"",C65&lt;&gt;0,E65&lt;&gt;""),(E65-C65)/C65*100,"")</f>
        <v/>
      </c>
    </row>
    <row r="66">
      <c r="F66">
        <f>IF(AND(C66&lt;&gt;"",E66&lt;&gt;""),E66-C66,"")</f>
        <v/>
      </c>
      <c r="G66">
        <f>IF(AND(C66&lt;&gt;"",C66&lt;&gt;0,E66&lt;&gt;""),(E66-C66)/C66*100,"")</f>
        <v/>
      </c>
    </row>
    <row r="67">
      <c r="F67">
        <f>IF(AND(C67&lt;&gt;"",E67&lt;&gt;""),E67-C67,"")</f>
        <v/>
      </c>
      <c r="G67">
        <f>IF(AND(C67&lt;&gt;"",C67&lt;&gt;0,E67&lt;&gt;""),(E67-C67)/C67*100,"")</f>
        <v/>
      </c>
    </row>
    <row r="68">
      <c r="F68">
        <f>IF(AND(C68&lt;&gt;"",E68&lt;&gt;""),E68-C68,"")</f>
        <v/>
      </c>
      <c r="G68">
        <f>IF(AND(C68&lt;&gt;"",C68&lt;&gt;0,E68&lt;&gt;""),(E68-C68)/C68*100,"")</f>
        <v/>
      </c>
    </row>
    <row r="69">
      <c r="F69">
        <f>IF(AND(C69&lt;&gt;"",E69&lt;&gt;""),E69-C69,"")</f>
        <v/>
      </c>
      <c r="G69">
        <f>IF(AND(C69&lt;&gt;"",C69&lt;&gt;0,E69&lt;&gt;""),(E69-C69)/C69*100,"")</f>
        <v/>
      </c>
    </row>
    <row r="70">
      <c r="F70">
        <f>IF(AND(C70&lt;&gt;"",E70&lt;&gt;""),E70-C70,"")</f>
        <v/>
      </c>
      <c r="G70">
        <f>IF(AND(C70&lt;&gt;"",C70&lt;&gt;0,E70&lt;&gt;""),(E70-C70)/C70*100,"")</f>
        <v/>
      </c>
    </row>
    <row r="71">
      <c r="F71">
        <f>IF(AND(C71&lt;&gt;"",E71&lt;&gt;""),E71-C71,"")</f>
        <v/>
      </c>
      <c r="G71">
        <f>IF(AND(C71&lt;&gt;"",C71&lt;&gt;0,E71&lt;&gt;""),(E71-C71)/C71*100,"")</f>
        <v/>
      </c>
    </row>
    <row r="72">
      <c r="F72">
        <f>IF(AND(C72&lt;&gt;"",E72&lt;&gt;""),E72-C72,"")</f>
        <v/>
      </c>
      <c r="G72">
        <f>IF(AND(C72&lt;&gt;"",C72&lt;&gt;0,E72&lt;&gt;""),(E72-C72)/C72*100,"")</f>
        <v/>
      </c>
    </row>
    <row r="73">
      <c r="F73">
        <f>IF(AND(C73&lt;&gt;"",E73&lt;&gt;""),E73-C73,"")</f>
        <v/>
      </c>
      <c r="G73">
        <f>IF(AND(C73&lt;&gt;"",C73&lt;&gt;0,E73&lt;&gt;""),(E73-C73)/C73*100,"")</f>
        <v/>
      </c>
    </row>
    <row r="74">
      <c r="F74">
        <f>IF(AND(C74&lt;&gt;"",E74&lt;&gt;""),E74-C74,"")</f>
        <v/>
      </c>
      <c r="G74">
        <f>IF(AND(C74&lt;&gt;"",C74&lt;&gt;0,E74&lt;&gt;""),(E74-C74)/C74*100,"")</f>
        <v/>
      </c>
    </row>
    <row r="75">
      <c r="F75">
        <f>IF(AND(C75&lt;&gt;"",E75&lt;&gt;""),E75-C75,"")</f>
        <v/>
      </c>
      <c r="G75">
        <f>IF(AND(C75&lt;&gt;"",C75&lt;&gt;0,E75&lt;&gt;""),(E75-C75)/C75*100,"")</f>
        <v/>
      </c>
    </row>
    <row r="76">
      <c r="F76">
        <f>IF(AND(C76&lt;&gt;"",E76&lt;&gt;""),E76-C76,"")</f>
        <v/>
      </c>
      <c r="G76">
        <f>IF(AND(C76&lt;&gt;"",C76&lt;&gt;0,E76&lt;&gt;""),(E76-C76)/C76*100,"")</f>
        <v/>
      </c>
    </row>
    <row r="77">
      <c r="F77">
        <f>IF(AND(C77&lt;&gt;"",E77&lt;&gt;""),E77-C77,"")</f>
        <v/>
      </c>
      <c r="G77">
        <f>IF(AND(C77&lt;&gt;"",C77&lt;&gt;0,E77&lt;&gt;""),(E77-C77)/C77*100,"")</f>
        <v/>
      </c>
    </row>
    <row r="78">
      <c r="F78">
        <f>IF(AND(C78&lt;&gt;"",E78&lt;&gt;""),E78-C78,"")</f>
        <v/>
      </c>
      <c r="G78">
        <f>IF(AND(C78&lt;&gt;"",C78&lt;&gt;0,E78&lt;&gt;""),(E78-C78)/C78*100,"")</f>
        <v/>
      </c>
    </row>
    <row r="79">
      <c r="F79">
        <f>IF(AND(C79&lt;&gt;"",E79&lt;&gt;""),E79-C79,"")</f>
        <v/>
      </c>
      <c r="G79">
        <f>IF(AND(C79&lt;&gt;"",C79&lt;&gt;0,E79&lt;&gt;""),(E79-C79)/C79*100,"")</f>
        <v/>
      </c>
    </row>
    <row r="80">
      <c r="F80">
        <f>IF(AND(C80&lt;&gt;"",E80&lt;&gt;""),E80-C80,"")</f>
        <v/>
      </c>
      <c r="G80">
        <f>IF(AND(C80&lt;&gt;"",C80&lt;&gt;0,E80&lt;&gt;""),(E80-C80)/C80*100,"")</f>
        <v/>
      </c>
    </row>
    <row r="81">
      <c r="F81">
        <f>IF(AND(C81&lt;&gt;"",E81&lt;&gt;""),E81-C81,"")</f>
        <v/>
      </c>
      <c r="G81">
        <f>IF(AND(C81&lt;&gt;"",C81&lt;&gt;0,E81&lt;&gt;""),(E81-C81)/C81*100,"")</f>
        <v/>
      </c>
    </row>
    <row r="82">
      <c r="F82">
        <f>IF(AND(C82&lt;&gt;"",E82&lt;&gt;""),E82-C82,"")</f>
        <v/>
      </c>
      <c r="G82">
        <f>IF(AND(C82&lt;&gt;"",C82&lt;&gt;0,E82&lt;&gt;""),(E82-C82)/C82*100,"")</f>
        <v/>
      </c>
    </row>
    <row r="83">
      <c r="F83">
        <f>IF(AND(C83&lt;&gt;"",E83&lt;&gt;""),E83-C83,"")</f>
        <v/>
      </c>
      <c r="G83">
        <f>IF(AND(C83&lt;&gt;"",C83&lt;&gt;0,E83&lt;&gt;""),(E83-C83)/C83*100,"")</f>
        <v/>
      </c>
    </row>
    <row r="84">
      <c r="F84">
        <f>IF(AND(C84&lt;&gt;"",E84&lt;&gt;""),E84-C84,"")</f>
        <v/>
      </c>
      <c r="G84">
        <f>IF(AND(C84&lt;&gt;"",C84&lt;&gt;0,E84&lt;&gt;""),(E84-C84)/C84*100,"")</f>
        <v/>
      </c>
    </row>
    <row r="85">
      <c r="F85">
        <f>IF(AND(C85&lt;&gt;"",E85&lt;&gt;""),E85-C85,"")</f>
        <v/>
      </c>
      <c r="G85">
        <f>IF(AND(C85&lt;&gt;"",C85&lt;&gt;0,E85&lt;&gt;""),(E85-C85)/C85*100,"")</f>
        <v/>
      </c>
    </row>
    <row r="86">
      <c r="F86">
        <f>IF(AND(C86&lt;&gt;"",E86&lt;&gt;""),E86-C86,"")</f>
        <v/>
      </c>
      <c r="G86">
        <f>IF(AND(C86&lt;&gt;"",C86&lt;&gt;0,E86&lt;&gt;""),(E86-C86)/C86*100,"")</f>
        <v/>
      </c>
    </row>
    <row r="87">
      <c r="F87">
        <f>IF(AND(C87&lt;&gt;"",E87&lt;&gt;""),E87-C87,"")</f>
        <v/>
      </c>
      <c r="G87">
        <f>IF(AND(C87&lt;&gt;"",C87&lt;&gt;0,E87&lt;&gt;""),(E87-C87)/C87*100,"")</f>
        <v/>
      </c>
    </row>
    <row r="88">
      <c r="F88">
        <f>IF(AND(C88&lt;&gt;"",E88&lt;&gt;""),E88-C88,"")</f>
        <v/>
      </c>
      <c r="G88">
        <f>IF(AND(C88&lt;&gt;"",C88&lt;&gt;0,E88&lt;&gt;""),(E88-C88)/C88*100,"")</f>
        <v/>
      </c>
    </row>
    <row r="89">
      <c r="F89">
        <f>IF(AND(C89&lt;&gt;"",E89&lt;&gt;""),E89-C89,"")</f>
        <v/>
      </c>
      <c r="G89">
        <f>IF(AND(C89&lt;&gt;"",C89&lt;&gt;0,E89&lt;&gt;""),(E89-C89)/C89*100,"")</f>
        <v/>
      </c>
    </row>
    <row r="90">
      <c r="F90">
        <f>IF(AND(C90&lt;&gt;"",E90&lt;&gt;""),E90-C90,"")</f>
        <v/>
      </c>
      <c r="G90">
        <f>IF(AND(C90&lt;&gt;"",C90&lt;&gt;0,E90&lt;&gt;""),(E90-C90)/C90*100,"")</f>
        <v/>
      </c>
    </row>
    <row r="91">
      <c r="F91">
        <f>IF(AND(C91&lt;&gt;"",E91&lt;&gt;""),E91-C91,"")</f>
        <v/>
      </c>
      <c r="G91">
        <f>IF(AND(C91&lt;&gt;"",C91&lt;&gt;0,E91&lt;&gt;""),(E91-C91)/C91*100,"")</f>
        <v/>
      </c>
    </row>
    <row r="92">
      <c r="F92">
        <f>IF(AND(C92&lt;&gt;"",E92&lt;&gt;""),E92-C92,"")</f>
        <v/>
      </c>
      <c r="G92">
        <f>IF(AND(C92&lt;&gt;"",C92&lt;&gt;0,E92&lt;&gt;""),(E92-C92)/C92*100,"")</f>
        <v/>
      </c>
    </row>
    <row r="93">
      <c r="F93">
        <f>IF(AND(C93&lt;&gt;"",E93&lt;&gt;""),E93-C93,"")</f>
        <v/>
      </c>
      <c r="G93">
        <f>IF(AND(C93&lt;&gt;"",C93&lt;&gt;0,E93&lt;&gt;""),(E93-C93)/C93*100,"")</f>
        <v/>
      </c>
    </row>
    <row r="94">
      <c r="F94">
        <f>IF(AND(C94&lt;&gt;"",E94&lt;&gt;""),E94-C94,"")</f>
        <v/>
      </c>
      <c r="G94">
        <f>IF(AND(C94&lt;&gt;"",C94&lt;&gt;0,E94&lt;&gt;""),(E94-C94)/C94*100,"")</f>
        <v/>
      </c>
    </row>
    <row r="95">
      <c r="F95">
        <f>IF(AND(C95&lt;&gt;"",E95&lt;&gt;""),E95-C95,"")</f>
        <v/>
      </c>
      <c r="G95">
        <f>IF(AND(C95&lt;&gt;"",C95&lt;&gt;0,E95&lt;&gt;""),(E95-C95)/C95*100,"")</f>
        <v/>
      </c>
    </row>
    <row r="96">
      <c r="F96">
        <f>IF(AND(C96&lt;&gt;"",E96&lt;&gt;""),E96-C96,"")</f>
        <v/>
      </c>
      <c r="G96">
        <f>IF(AND(C96&lt;&gt;"",C96&lt;&gt;0,E96&lt;&gt;""),(E96-C96)/C96*100,"")</f>
        <v/>
      </c>
    </row>
    <row r="97">
      <c r="F97">
        <f>IF(AND(C97&lt;&gt;"",E97&lt;&gt;""),E97-C97,"")</f>
        <v/>
      </c>
      <c r="G97">
        <f>IF(AND(C97&lt;&gt;"",C97&lt;&gt;0,E97&lt;&gt;""),(E97-C97)/C97*100,"")</f>
        <v/>
      </c>
    </row>
    <row r="98">
      <c r="F98">
        <f>IF(AND(C98&lt;&gt;"",E98&lt;&gt;""),E98-C98,"")</f>
        <v/>
      </c>
      <c r="G98">
        <f>IF(AND(C98&lt;&gt;"",C98&lt;&gt;0,E98&lt;&gt;""),(E98-C98)/C98*100,"")</f>
        <v/>
      </c>
    </row>
    <row r="99">
      <c r="F99">
        <f>IF(AND(C99&lt;&gt;"",E99&lt;&gt;""),E99-C99,"")</f>
        <v/>
      </c>
      <c r="G99">
        <f>IF(AND(C99&lt;&gt;"",C99&lt;&gt;0,E99&lt;&gt;""),(E99-C99)/C99*100,"")</f>
        <v/>
      </c>
    </row>
    <row r="100">
      <c r="F100">
        <f>IF(AND(C100&lt;&gt;"",E100&lt;&gt;""),E100-C100,"")</f>
        <v/>
      </c>
      <c r="G100">
        <f>IF(AND(C100&lt;&gt;"",C100&lt;&gt;0,E100&lt;&gt;""),(E100-C100)/C100*100,"")</f>
        <v/>
      </c>
    </row>
    <row r="101">
      <c r="F101">
        <f>IF(AND(C101&lt;&gt;"",E101&lt;&gt;""),E101-C101,"")</f>
        <v/>
      </c>
      <c r="G101">
        <f>IF(AND(C101&lt;&gt;"",C101&lt;&gt;0,E101&lt;&gt;""),(E101-C101)/C101*100,"")</f>
        <v/>
      </c>
    </row>
    <row r="102">
      <c r="F102">
        <f>IF(AND(C102&lt;&gt;"",E102&lt;&gt;""),E102-C102,"")</f>
        <v/>
      </c>
      <c r="G102">
        <f>IF(AND(C102&lt;&gt;"",C102&lt;&gt;0,E102&lt;&gt;""),(E102-C102)/C102*100,"")</f>
        <v/>
      </c>
    </row>
    <row r="103">
      <c r="F103">
        <f>IF(AND(C103&lt;&gt;"",E103&lt;&gt;""),E103-C103,"")</f>
        <v/>
      </c>
      <c r="G103">
        <f>IF(AND(C103&lt;&gt;"",C103&lt;&gt;0,E103&lt;&gt;""),(E103-C103)/C103*100,"")</f>
        <v/>
      </c>
    </row>
    <row r="104">
      <c r="F104">
        <f>IF(AND(C104&lt;&gt;"",E104&lt;&gt;""),E104-C104,"")</f>
        <v/>
      </c>
      <c r="G104">
        <f>IF(AND(C104&lt;&gt;"",C104&lt;&gt;0,E104&lt;&gt;""),(E104-C104)/C104*100,"")</f>
        <v/>
      </c>
    </row>
    <row r="105">
      <c r="F105">
        <f>IF(AND(C105&lt;&gt;"",E105&lt;&gt;""),E105-C105,"")</f>
        <v/>
      </c>
      <c r="G105">
        <f>IF(AND(C105&lt;&gt;"",C105&lt;&gt;0,E105&lt;&gt;""),(E105-C105)/C105*100,"")</f>
        <v/>
      </c>
    </row>
    <row r="106">
      <c r="F106">
        <f>IF(AND(C106&lt;&gt;"",E106&lt;&gt;""),E106-C106,"")</f>
        <v/>
      </c>
      <c r="G106">
        <f>IF(AND(C106&lt;&gt;"",C106&lt;&gt;0,E106&lt;&gt;""),(E106-C106)/C106*100,"")</f>
        <v/>
      </c>
    </row>
    <row r="107">
      <c r="F107">
        <f>IF(AND(C107&lt;&gt;"",E107&lt;&gt;""),E107-C107,"")</f>
        <v/>
      </c>
      <c r="G107">
        <f>IF(AND(C107&lt;&gt;"",C107&lt;&gt;0,E107&lt;&gt;""),(E107-C107)/C107*100,"")</f>
        <v/>
      </c>
    </row>
    <row r="108">
      <c r="F108">
        <f>IF(AND(C108&lt;&gt;"",E108&lt;&gt;""),E108-C108,"")</f>
        <v/>
      </c>
      <c r="G108">
        <f>IF(AND(C108&lt;&gt;"",C108&lt;&gt;0,E108&lt;&gt;""),(E108-C108)/C108*100,"")</f>
        <v/>
      </c>
    </row>
    <row r="109">
      <c r="F109">
        <f>IF(AND(C109&lt;&gt;"",E109&lt;&gt;""),E109-C109,"")</f>
        <v/>
      </c>
      <c r="G109">
        <f>IF(AND(C109&lt;&gt;"",C109&lt;&gt;0,E109&lt;&gt;""),(E109-C109)/C109*100,"")</f>
        <v/>
      </c>
    </row>
    <row r="110">
      <c r="F110">
        <f>IF(AND(C110&lt;&gt;"",E110&lt;&gt;""),E110-C110,"")</f>
        <v/>
      </c>
      <c r="G110">
        <f>IF(AND(C110&lt;&gt;"",C110&lt;&gt;0,E110&lt;&gt;""),(E110-C110)/C110*100,"")</f>
        <v/>
      </c>
    </row>
    <row r="111">
      <c r="F111">
        <f>IF(AND(C111&lt;&gt;"",E111&lt;&gt;""),E111-C111,"")</f>
        <v/>
      </c>
      <c r="G111">
        <f>IF(AND(C111&lt;&gt;"",C111&lt;&gt;0,E111&lt;&gt;""),(E111-C111)/C111*100,"")</f>
        <v/>
      </c>
    </row>
    <row r="112">
      <c r="F112">
        <f>IF(AND(C112&lt;&gt;"",E112&lt;&gt;""),E112-C112,"")</f>
        <v/>
      </c>
      <c r="G112">
        <f>IF(AND(C112&lt;&gt;"",C112&lt;&gt;0,E112&lt;&gt;""),(E112-C112)/C112*100,"")</f>
        <v/>
      </c>
    </row>
    <row r="113">
      <c r="F113">
        <f>IF(AND(C113&lt;&gt;"",E113&lt;&gt;""),E113-C113,"")</f>
        <v/>
      </c>
      <c r="G113">
        <f>IF(AND(C113&lt;&gt;"",C113&lt;&gt;0,E113&lt;&gt;""),(E113-C113)/C113*100,"")</f>
        <v/>
      </c>
    </row>
    <row r="114">
      <c r="F114">
        <f>IF(AND(C114&lt;&gt;"",E114&lt;&gt;""),E114-C114,"")</f>
        <v/>
      </c>
      <c r="G114">
        <f>IF(AND(C114&lt;&gt;"",C114&lt;&gt;0,E114&lt;&gt;""),(E114-C114)/C114*100,"")</f>
        <v/>
      </c>
    </row>
    <row r="115">
      <c r="F115">
        <f>IF(AND(C115&lt;&gt;"",E115&lt;&gt;""),E115-C115,"")</f>
        <v/>
      </c>
      <c r="G115">
        <f>IF(AND(C115&lt;&gt;"",C115&lt;&gt;0,E115&lt;&gt;""),(E115-C115)/C115*100,"")</f>
        <v/>
      </c>
    </row>
    <row r="116">
      <c r="F116">
        <f>IF(AND(C116&lt;&gt;"",E116&lt;&gt;""),E116-C116,"")</f>
        <v/>
      </c>
      <c r="G116">
        <f>IF(AND(C116&lt;&gt;"",C116&lt;&gt;0,E116&lt;&gt;""),(E116-C116)/C116*100,"")</f>
        <v/>
      </c>
    </row>
    <row r="117">
      <c r="F117">
        <f>IF(AND(C117&lt;&gt;"",E117&lt;&gt;""),E117-C117,"")</f>
        <v/>
      </c>
      <c r="G117">
        <f>IF(AND(C117&lt;&gt;"",C117&lt;&gt;0,E117&lt;&gt;""),(E117-C117)/C117*100,"")</f>
        <v/>
      </c>
    </row>
    <row r="118">
      <c r="F118">
        <f>IF(AND(C118&lt;&gt;"",E118&lt;&gt;""),E118-C118,"")</f>
        <v/>
      </c>
      <c r="G118">
        <f>IF(AND(C118&lt;&gt;"",C118&lt;&gt;0,E118&lt;&gt;""),(E118-C118)/C118*100,"")</f>
        <v/>
      </c>
    </row>
    <row r="119">
      <c r="F119">
        <f>IF(AND(C119&lt;&gt;"",E119&lt;&gt;""),E119-C119,"")</f>
        <v/>
      </c>
      <c r="G119">
        <f>IF(AND(C119&lt;&gt;"",C119&lt;&gt;0,E119&lt;&gt;""),(E119-C119)/C119*100,"")</f>
        <v/>
      </c>
    </row>
    <row r="120">
      <c r="F120">
        <f>IF(AND(C120&lt;&gt;"",E120&lt;&gt;""),E120-C120,"")</f>
        <v/>
      </c>
      <c r="G120">
        <f>IF(AND(C120&lt;&gt;"",C120&lt;&gt;0,E120&lt;&gt;""),(E120-C120)/C120*100,"")</f>
        <v/>
      </c>
    </row>
    <row r="121">
      <c r="F121">
        <f>IF(AND(C121&lt;&gt;"",E121&lt;&gt;""),E121-C121,"")</f>
        <v/>
      </c>
      <c r="G121">
        <f>IF(AND(C121&lt;&gt;"",C121&lt;&gt;0,E121&lt;&gt;""),(E121-C121)/C121*100,"")</f>
        <v/>
      </c>
    </row>
    <row r="122">
      <c r="F122">
        <f>IF(AND(C122&lt;&gt;"",E122&lt;&gt;""),E122-C122,"")</f>
        <v/>
      </c>
      <c r="G122">
        <f>IF(AND(C122&lt;&gt;"",C122&lt;&gt;0,E122&lt;&gt;""),(E122-C122)/C122*100,"")</f>
        <v/>
      </c>
    </row>
    <row r="123">
      <c r="F123">
        <f>IF(AND(C123&lt;&gt;"",E123&lt;&gt;""),E123-C123,"")</f>
        <v/>
      </c>
      <c r="G123">
        <f>IF(AND(C123&lt;&gt;"",C123&lt;&gt;0,E123&lt;&gt;""),(E123-C123)/C123*100,"")</f>
        <v/>
      </c>
    </row>
    <row r="124">
      <c r="F124">
        <f>IF(AND(C124&lt;&gt;"",E124&lt;&gt;""),E124-C124,"")</f>
        <v/>
      </c>
      <c r="G124">
        <f>IF(AND(C124&lt;&gt;"",C124&lt;&gt;0,E124&lt;&gt;""),(E124-C124)/C124*100,"")</f>
        <v/>
      </c>
    </row>
    <row r="125">
      <c r="F125">
        <f>IF(AND(C125&lt;&gt;"",E125&lt;&gt;""),E125-C125,"")</f>
        <v/>
      </c>
      <c r="G125">
        <f>IF(AND(C125&lt;&gt;"",C125&lt;&gt;0,E125&lt;&gt;""),(E125-C125)/C125*100,"")</f>
        <v/>
      </c>
    </row>
    <row r="126">
      <c r="F126">
        <f>IF(AND(C126&lt;&gt;"",E126&lt;&gt;""),E126-C126,"")</f>
        <v/>
      </c>
      <c r="G126">
        <f>IF(AND(C126&lt;&gt;"",C126&lt;&gt;0,E126&lt;&gt;""),(E126-C126)/C126*100,"")</f>
        <v/>
      </c>
    </row>
    <row r="127">
      <c r="F127">
        <f>IF(AND(C127&lt;&gt;"",E127&lt;&gt;""),E127-C127,"")</f>
        <v/>
      </c>
      <c r="G127">
        <f>IF(AND(C127&lt;&gt;"",C127&lt;&gt;0,E127&lt;&gt;""),(E127-C127)/C127*100,"")</f>
        <v/>
      </c>
    </row>
    <row r="128">
      <c r="F128">
        <f>IF(AND(C128&lt;&gt;"",E128&lt;&gt;""),E128-C128,"")</f>
        <v/>
      </c>
      <c r="G128">
        <f>IF(AND(C128&lt;&gt;"",C128&lt;&gt;0,E128&lt;&gt;""),(E128-C128)/C128*100,"")</f>
        <v/>
      </c>
    </row>
    <row r="129">
      <c r="F129">
        <f>IF(AND(C129&lt;&gt;"",E129&lt;&gt;""),E129-C129,"")</f>
        <v/>
      </c>
      <c r="G129">
        <f>IF(AND(C129&lt;&gt;"",C129&lt;&gt;0,E129&lt;&gt;""),(E129-C129)/C129*100,"")</f>
        <v/>
      </c>
    </row>
    <row r="130">
      <c r="F130">
        <f>IF(AND(C130&lt;&gt;"",E130&lt;&gt;""),E130-C130,"")</f>
        <v/>
      </c>
      <c r="G130">
        <f>IF(AND(C130&lt;&gt;"",C130&lt;&gt;0,E130&lt;&gt;""),(E130-C130)/C130*100,"")</f>
        <v/>
      </c>
    </row>
    <row r="131">
      <c r="F131">
        <f>IF(AND(C131&lt;&gt;"",E131&lt;&gt;""),E131-C131,"")</f>
        <v/>
      </c>
      <c r="G131">
        <f>IF(AND(C131&lt;&gt;"",C131&lt;&gt;0,E131&lt;&gt;""),(E131-C131)/C131*100,"")</f>
        <v/>
      </c>
    </row>
    <row r="132">
      <c r="F132">
        <f>IF(AND(C132&lt;&gt;"",E132&lt;&gt;""),E132-C132,"")</f>
        <v/>
      </c>
      <c r="G132">
        <f>IF(AND(C132&lt;&gt;"",C132&lt;&gt;0,E132&lt;&gt;""),(E132-C132)/C132*100,"")</f>
        <v/>
      </c>
    </row>
    <row r="133">
      <c r="F133">
        <f>IF(AND(C133&lt;&gt;"",E133&lt;&gt;""),E133-C133,"")</f>
        <v/>
      </c>
      <c r="G133">
        <f>IF(AND(C133&lt;&gt;"",C133&lt;&gt;0,E133&lt;&gt;""),(E133-C133)/C133*100,"")</f>
        <v/>
      </c>
    </row>
    <row r="134">
      <c r="F134">
        <f>IF(AND(C134&lt;&gt;"",E134&lt;&gt;""),E134-C134,"")</f>
        <v/>
      </c>
      <c r="G134">
        <f>IF(AND(C134&lt;&gt;"",C134&lt;&gt;0,E134&lt;&gt;""),(E134-C134)/C134*100,"")</f>
        <v/>
      </c>
    </row>
    <row r="135">
      <c r="F135">
        <f>IF(AND(C135&lt;&gt;"",E135&lt;&gt;""),E135-C135,"")</f>
        <v/>
      </c>
      <c r="G135">
        <f>IF(AND(C135&lt;&gt;"",C135&lt;&gt;0,E135&lt;&gt;""),(E135-C135)/C135*100,"")</f>
        <v/>
      </c>
    </row>
    <row r="136">
      <c r="F136">
        <f>IF(AND(C136&lt;&gt;"",E136&lt;&gt;""),E136-C136,"")</f>
        <v/>
      </c>
      <c r="G136">
        <f>IF(AND(C136&lt;&gt;"",C136&lt;&gt;0,E136&lt;&gt;""),(E136-C136)/C136*100,"")</f>
        <v/>
      </c>
    </row>
    <row r="137">
      <c r="F137">
        <f>IF(AND(C137&lt;&gt;"",E137&lt;&gt;""),E137-C137,"")</f>
        <v/>
      </c>
      <c r="G137">
        <f>IF(AND(C137&lt;&gt;"",C137&lt;&gt;0,E137&lt;&gt;""),(E137-C137)/C137*100,"")</f>
        <v/>
      </c>
    </row>
    <row r="138">
      <c r="F138">
        <f>IF(AND(C138&lt;&gt;"",E138&lt;&gt;""),E138-C138,"")</f>
        <v/>
      </c>
      <c r="G138">
        <f>IF(AND(C138&lt;&gt;"",C138&lt;&gt;0,E138&lt;&gt;""),(E138-C138)/C138*100,"")</f>
        <v/>
      </c>
    </row>
    <row r="139">
      <c r="F139">
        <f>IF(AND(C139&lt;&gt;"",E139&lt;&gt;""),E139-C139,"")</f>
        <v/>
      </c>
      <c r="G139">
        <f>IF(AND(C139&lt;&gt;"",C139&lt;&gt;0,E139&lt;&gt;""),(E139-C139)/C139*100,"")</f>
        <v/>
      </c>
    </row>
    <row r="140">
      <c r="F140">
        <f>IF(AND(C140&lt;&gt;"",E140&lt;&gt;""),E140-C140,"")</f>
        <v/>
      </c>
      <c r="G140">
        <f>IF(AND(C140&lt;&gt;"",C140&lt;&gt;0,E140&lt;&gt;""),(E140-C140)/C140*100,"")</f>
        <v/>
      </c>
    </row>
    <row r="141">
      <c r="F141">
        <f>IF(AND(C141&lt;&gt;"",E141&lt;&gt;""),E141-C141,"")</f>
        <v/>
      </c>
      <c r="G141">
        <f>IF(AND(C141&lt;&gt;"",C141&lt;&gt;0,E141&lt;&gt;""),(E141-C141)/C141*100,"")</f>
        <v/>
      </c>
    </row>
    <row r="142">
      <c r="F142">
        <f>IF(AND(C142&lt;&gt;"",E142&lt;&gt;""),E142-C142,"")</f>
        <v/>
      </c>
      <c r="G142">
        <f>IF(AND(C142&lt;&gt;"",C142&lt;&gt;0,E142&lt;&gt;""),(E142-C142)/C142*100,"")</f>
        <v/>
      </c>
    </row>
    <row r="143">
      <c r="F143">
        <f>IF(AND(C143&lt;&gt;"",E143&lt;&gt;""),E143-C143,"")</f>
        <v/>
      </c>
      <c r="G143">
        <f>IF(AND(C143&lt;&gt;"",C143&lt;&gt;0,E143&lt;&gt;""),(E143-C143)/C143*100,"")</f>
        <v/>
      </c>
    </row>
    <row r="144">
      <c r="F144">
        <f>IF(AND(C144&lt;&gt;"",E144&lt;&gt;""),E144-C144,"")</f>
        <v/>
      </c>
      <c r="G144">
        <f>IF(AND(C144&lt;&gt;"",C144&lt;&gt;0,E144&lt;&gt;""),(E144-C144)/C144*100,"")</f>
        <v/>
      </c>
    </row>
    <row r="145">
      <c r="F145">
        <f>IF(AND(C145&lt;&gt;"",E145&lt;&gt;""),E145-C145,"")</f>
        <v/>
      </c>
      <c r="G145">
        <f>IF(AND(C145&lt;&gt;"",C145&lt;&gt;0,E145&lt;&gt;""),(E145-C145)/C145*100,"")</f>
        <v/>
      </c>
    </row>
    <row r="146">
      <c r="F146">
        <f>IF(AND(C146&lt;&gt;"",E146&lt;&gt;""),E146-C146,"")</f>
        <v/>
      </c>
      <c r="G146">
        <f>IF(AND(C146&lt;&gt;"",C146&lt;&gt;0,E146&lt;&gt;""),(E146-C146)/C146*100,"")</f>
        <v/>
      </c>
    </row>
    <row r="147">
      <c r="F147">
        <f>IF(AND(C147&lt;&gt;"",E147&lt;&gt;""),E147-C147,"")</f>
        <v/>
      </c>
      <c r="G147">
        <f>IF(AND(C147&lt;&gt;"",C147&lt;&gt;0,E147&lt;&gt;""),(E147-C147)/C147*100,"")</f>
        <v/>
      </c>
    </row>
    <row r="148">
      <c r="F148">
        <f>IF(AND(C148&lt;&gt;"",E148&lt;&gt;""),E148-C148,"")</f>
        <v/>
      </c>
      <c r="G148">
        <f>IF(AND(C148&lt;&gt;"",C148&lt;&gt;0,E148&lt;&gt;""),(E148-C148)/C148*100,"")</f>
        <v/>
      </c>
    </row>
    <row r="149">
      <c r="F149">
        <f>IF(AND(C149&lt;&gt;"",E149&lt;&gt;""),E149-C149,"")</f>
        <v/>
      </c>
      <c r="G149">
        <f>IF(AND(C149&lt;&gt;"",C149&lt;&gt;0,E149&lt;&gt;""),(E149-C149)/C149*100,"")</f>
        <v/>
      </c>
    </row>
    <row r="150">
      <c r="F150">
        <f>IF(AND(C150&lt;&gt;"",E150&lt;&gt;""),E150-C150,"")</f>
        <v/>
      </c>
      <c r="G150">
        <f>IF(AND(C150&lt;&gt;"",C150&lt;&gt;0,E150&lt;&gt;""),(E150-C150)/C150*100,"")</f>
        <v/>
      </c>
    </row>
    <row r="151">
      <c r="F151">
        <f>IF(AND(C151&lt;&gt;"",E151&lt;&gt;""),E151-C151,"")</f>
        <v/>
      </c>
      <c r="G151">
        <f>IF(AND(C151&lt;&gt;"",C151&lt;&gt;0,E151&lt;&gt;""),(E151-C151)/C151*100,"")</f>
        <v/>
      </c>
    </row>
    <row r="152">
      <c r="F152">
        <f>IF(AND(C152&lt;&gt;"",E152&lt;&gt;""),E152-C152,"")</f>
        <v/>
      </c>
      <c r="G152">
        <f>IF(AND(C152&lt;&gt;"",C152&lt;&gt;0,E152&lt;&gt;""),(E152-C152)/C152*100,"")</f>
        <v/>
      </c>
    </row>
    <row r="153">
      <c r="F153">
        <f>IF(AND(C153&lt;&gt;"",E153&lt;&gt;""),E153-C153,"")</f>
        <v/>
      </c>
      <c r="G153">
        <f>IF(AND(C153&lt;&gt;"",C153&lt;&gt;0,E153&lt;&gt;""),(E153-C153)/C153*100,"")</f>
        <v/>
      </c>
    </row>
    <row r="154">
      <c r="F154">
        <f>IF(AND(C154&lt;&gt;"",E154&lt;&gt;""),E154-C154,"")</f>
        <v/>
      </c>
      <c r="G154">
        <f>IF(AND(C154&lt;&gt;"",C154&lt;&gt;0,E154&lt;&gt;""),(E154-C154)/C154*100,"")</f>
        <v/>
      </c>
    </row>
    <row r="155">
      <c r="F155">
        <f>IF(AND(C155&lt;&gt;"",E155&lt;&gt;""),E155-C155,"")</f>
        <v/>
      </c>
      <c r="G155">
        <f>IF(AND(C155&lt;&gt;"",C155&lt;&gt;0,E155&lt;&gt;""),(E155-C155)/C155*100,"")</f>
        <v/>
      </c>
    </row>
    <row r="156">
      <c r="F156">
        <f>IF(AND(C156&lt;&gt;"",E156&lt;&gt;""),E156-C156,"")</f>
        <v/>
      </c>
      <c r="G156">
        <f>IF(AND(C156&lt;&gt;"",C156&lt;&gt;0,E156&lt;&gt;""),(E156-C156)/C156*100,"")</f>
        <v/>
      </c>
    </row>
    <row r="157">
      <c r="F157">
        <f>IF(AND(C157&lt;&gt;"",E157&lt;&gt;""),E157-C157,"")</f>
        <v/>
      </c>
      <c r="G157">
        <f>IF(AND(C157&lt;&gt;"",C157&lt;&gt;0,E157&lt;&gt;""),(E157-C157)/C157*100,"")</f>
        <v/>
      </c>
    </row>
    <row r="158">
      <c r="F158">
        <f>IF(AND(C158&lt;&gt;"",E158&lt;&gt;""),E158-C158,"")</f>
        <v/>
      </c>
      <c r="G158">
        <f>IF(AND(C158&lt;&gt;"",C158&lt;&gt;0,E158&lt;&gt;""),(E158-C158)/C158*100,"")</f>
        <v/>
      </c>
    </row>
    <row r="159">
      <c r="F159">
        <f>IF(AND(C159&lt;&gt;"",E159&lt;&gt;""),E159-C159,"")</f>
        <v/>
      </c>
      <c r="G159">
        <f>IF(AND(C159&lt;&gt;"",C159&lt;&gt;0,E159&lt;&gt;""),(E159-C159)/C159*100,"")</f>
        <v/>
      </c>
    </row>
    <row r="160">
      <c r="F160">
        <f>IF(AND(C160&lt;&gt;"",E160&lt;&gt;""),E160-C160,"")</f>
        <v/>
      </c>
      <c r="G160">
        <f>IF(AND(C160&lt;&gt;"",C160&lt;&gt;0,E160&lt;&gt;""),(E160-C160)/C160*100,"")</f>
        <v/>
      </c>
    </row>
    <row r="161">
      <c r="F161">
        <f>IF(AND(C161&lt;&gt;"",E161&lt;&gt;""),E161-C161,"")</f>
        <v/>
      </c>
      <c r="G161">
        <f>IF(AND(C161&lt;&gt;"",C161&lt;&gt;0,E161&lt;&gt;""),(E161-C161)/C161*100,"")</f>
        <v/>
      </c>
    </row>
    <row r="162">
      <c r="F162">
        <f>IF(AND(C162&lt;&gt;"",E162&lt;&gt;""),E162-C162,"")</f>
        <v/>
      </c>
      <c r="G162">
        <f>IF(AND(C162&lt;&gt;"",C162&lt;&gt;0,E162&lt;&gt;""),(E162-C162)/C162*100,"")</f>
        <v/>
      </c>
    </row>
    <row r="163">
      <c r="F163">
        <f>IF(AND(C163&lt;&gt;"",E163&lt;&gt;""),E163-C163,"")</f>
        <v/>
      </c>
      <c r="G163">
        <f>IF(AND(C163&lt;&gt;"",C163&lt;&gt;0,E163&lt;&gt;""),(E163-C163)/C163*100,"")</f>
        <v/>
      </c>
    </row>
    <row r="164">
      <c r="F164">
        <f>IF(AND(C164&lt;&gt;"",E164&lt;&gt;""),E164-C164,"")</f>
        <v/>
      </c>
      <c r="G164">
        <f>IF(AND(C164&lt;&gt;"",C164&lt;&gt;0,E164&lt;&gt;""),(E164-C164)/C164*100,"")</f>
        <v/>
      </c>
    </row>
    <row r="165">
      <c r="F165">
        <f>IF(AND(C165&lt;&gt;"",E165&lt;&gt;""),E165-C165,"")</f>
        <v/>
      </c>
      <c r="G165">
        <f>IF(AND(C165&lt;&gt;"",C165&lt;&gt;0,E165&lt;&gt;""),(E165-C165)/C165*100,"")</f>
        <v/>
      </c>
    </row>
    <row r="166">
      <c r="F166">
        <f>IF(AND(C166&lt;&gt;"",E166&lt;&gt;""),E166-C166,"")</f>
        <v/>
      </c>
      <c r="G166">
        <f>IF(AND(C166&lt;&gt;"",C166&lt;&gt;0,E166&lt;&gt;""),(E166-C166)/C166*100,"")</f>
        <v/>
      </c>
    </row>
    <row r="167">
      <c r="F167">
        <f>IF(AND(C167&lt;&gt;"",E167&lt;&gt;""),E167-C167,"")</f>
        <v/>
      </c>
      <c r="G167">
        <f>IF(AND(C167&lt;&gt;"",C167&lt;&gt;0,E167&lt;&gt;""),(E167-C167)/C167*100,"")</f>
        <v/>
      </c>
    </row>
    <row r="168">
      <c r="F168">
        <f>IF(AND(C168&lt;&gt;"",E168&lt;&gt;""),E168-C168,"")</f>
        <v/>
      </c>
      <c r="G168">
        <f>IF(AND(C168&lt;&gt;"",C168&lt;&gt;0,E168&lt;&gt;""),(E168-C168)/C168*100,"")</f>
        <v/>
      </c>
    </row>
    <row r="169">
      <c r="F169">
        <f>IF(AND(C169&lt;&gt;"",E169&lt;&gt;""),E169-C169,"")</f>
        <v/>
      </c>
      <c r="G169">
        <f>IF(AND(C169&lt;&gt;"",C169&lt;&gt;0,E169&lt;&gt;""),(E169-C169)/C169*100,"")</f>
        <v/>
      </c>
    </row>
    <row r="170">
      <c r="F170">
        <f>IF(AND(C170&lt;&gt;"",E170&lt;&gt;""),E170-C170,"")</f>
        <v/>
      </c>
      <c r="G170">
        <f>IF(AND(C170&lt;&gt;"",C170&lt;&gt;0,E170&lt;&gt;""),(E170-C170)/C170*100,"")</f>
        <v/>
      </c>
    </row>
    <row r="171">
      <c r="F171">
        <f>IF(AND(C171&lt;&gt;"",E171&lt;&gt;""),E171-C171,"")</f>
        <v/>
      </c>
      <c r="G171">
        <f>IF(AND(C171&lt;&gt;"",C171&lt;&gt;0,E171&lt;&gt;""),(E171-C171)/C171*100,"")</f>
        <v/>
      </c>
    </row>
    <row r="172">
      <c r="F172">
        <f>IF(AND(C172&lt;&gt;"",E172&lt;&gt;""),E172-C172,"")</f>
        <v/>
      </c>
      <c r="G172">
        <f>IF(AND(C172&lt;&gt;"",C172&lt;&gt;0,E172&lt;&gt;""),(E172-C172)/C172*100,"")</f>
        <v/>
      </c>
    </row>
    <row r="173">
      <c r="F173">
        <f>IF(AND(C173&lt;&gt;"",E173&lt;&gt;""),E173-C173,"")</f>
        <v/>
      </c>
      <c r="G173">
        <f>IF(AND(C173&lt;&gt;"",C173&lt;&gt;0,E173&lt;&gt;""),(E173-C173)/C173*100,"")</f>
        <v/>
      </c>
    </row>
    <row r="174">
      <c r="F174">
        <f>IF(AND(C174&lt;&gt;"",E174&lt;&gt;""),E174-C174,"")</f>
        <v/>
      </c>
      <c r="G174">
        <f>IF(AND(C174&lt;&gt;"",C174&lt;&gt;0,E174&lt;&gt;""),(E174-C174)/C174*100,"")</f>
        <v/>
      </c>
    </row>
    <row r="175">
      <c r="F175">
        <f>IF(AND(C175&lt;&gt;"",E175&lt;&gt;""),E175-C175,"")</f>
        <v/>
      </c>
      <c r="G175">
        <f>IF(AND(C175&lt;&gt;"",C175&lt;&gt;0,E175&lt;&gt;""),(E175-C175)/C175*100,"")</f>
        <v/>
      </c>
    </row>
    <row r="176">
      <c r="F176">
        <f>IF(AND(C176&lt;&gt;"",E176&lt;&gt;""),E176-C176,"")</f>
        <v/>
      </c>
      <c r="G176">
        <f>IF(AND(C176&lt;&gt;"",C176&lt;&gt;0,E176&lt;&gt;""),(E176-C176)/C176*100,"")</f>
        <v/>
      </c>
    </row>
    <row r="177">
      <c r="F177">
        <f>IF(AND(C177&lt;&gt;"",E177&lt;&gt;""),E177-C177,"")</f>
        <v/>
      </c>
      <c r="G177">
        <f>IF(AND(C177&lt;&gt;"",C177&lt;&gt;0,E177&lt;&gt;""),(E177-C177)/C177*100,"")</f>
        <v/>
      </c>
    </row>
    <row r="178">
      <c r="F178">
        <f>IF(AND(C178&lt;&gt;"",E178&lt;&gt;""),E178-C178,"")</f>
        <v/>
      </c>
      <c r="G178">
        <f>IF(AND(C178&lt;&gt;"",C178&lt;&gt;0,E178&lt;&gt;""),(E178-C178)/C178*100,"")</f>
        <v/>
      </c>
    </row>
    <row r="179">
      <c r="F179">
        <f>IF(AND(C179&lt;&gt;"",E179&lt;&gt;""),E179-C179,"")</f>
        <v/>
      </c>
      <c r="G179">
        <f>IF(AND(C179&lt;&gt;"",C179&lt;&gt;0,E179&lt;&gt;""),(E179-C179)/C179*100,"")</f>
        <v/>
      </c>
    </row>
    <row r="180">
      <c r="F180">
        <f>IF(AND(C180&lt;&gt;"",E180&lt;&gt;""),E180-C180,"")</f>
        <v/>
      </c>
      <c r="G180">
        <f>IF(AND(C180&lt;&gt;"",C180&lt;&gt;0,E180&lt;&gt;""),(E180-C180)/C180*100,"")</f>
        <v/>
      </c>
    </row>
    <row r="181">
      <c r="F181">
        <f>IF(AND(C181&lt;&gt;"",E181&lt;&gt;""),E181-C181,"")</f>
        <v/>
      </c>
      <c r="G181">
        <f>IF(AND(C181&lt;&gt;"",C181&lt;&gt;0,E181&lt;&gt;""),(E181-C181)/C181*100,"")</f>
        <v/>
      </c>
    </row>
    <row r="182">
      <c r="F182">
        <f>IF(AND(C182&lt;&gt;"",E182&lt;&gt;""),E182-C182,"")</f>
        <v/>
      </c>
      <c r="G182">
        <f>IF(AND(C182&lt;&gt;"",C182&lt;&gt;0,E182&lt;&gt;""),(E182-C182)/C182*100,"")</f>
        <v/>
      </c>
    </row>
    <row r="183">
      <c r="F183">
        <f>IF(AND(C183&lt;&gt;"",E183&lt;&gt;""),E183-C183,"")</f>
        <v/>
      </c>
      <c r="G183">
        <f>IF(AND(C183&lt;&gt;"",C183&lt;&gt;0,E183&lt;&gt;""),(E183-C183)/C183*100,"")</f>
        <v/>
      </c>
    </row>
    <row r="184">
      <c r="F184">
        <f>IF(AND(C184&lt;&gt;"",E184&lt;&gt;""),E184-C184,"")</f>
        <v/>
      </c>
      <c r="G184">
        <f>IF(AND(C184&lt;&gt;"",C184&lt;&gt;0,E184&lt;&gt;""),(E184-C184)/C184*100,"")</f>
        <v/>
      </c>
    </row>
    <row r="185">
      <c r="F185">
        <f>IF(AND(C185&lt;&gt;"",E185&lt;&gt;""),E185-C185,"")</f>
        <v/>
      </c>
      <c r="G185">
        <f>IF(AND(C185&lt;&gt;"",C185&lt;&gt;0,E185&lt;&gt;""),(E185-C185)/C185*100,"")</f>
        <v/>
      </c>
    </row>
    <row r="186">
      <c r="F186">
        <f>IF(AND(C186&lt;&gt;"",E186&lt;&gt;""),E186-C186,"")</f>
        <v/>
      </c>
      <c r="G186">
        <f>IF(AND(C186&lt;&gt;"",C186&lt;&gt;0,E186&lt;&gt;""),(E186-C186)/C186*100,"")</f>
        <v/>
      </c>
    </row>
    <row r="187">
      <c r="F187">
        <f>IF(AND(C187&lt;&gt;"",E187&lt;&gt;""),E187-C187,"")</f>
        <v/>
      </c>
      <c r="G187">
        <f>IF(AND(C187&lt;&gt;"",C187&lt;&gt;0,E187&lt;&gt;""),(E187-C187)/C187*100,"")</f>
        <v/>
      </c>
    </row>
    <row r="188">
      <c r="F188">
        <f>IF(AND(C188&lt;&gt;"",E188&lt;&gt;""),E188-C188,"")</f>
        <v/>
      </c>
      <c r="G188">
        <f>IF(AND(C188&lt;&gt;"",C188&lt;&gt;0,E188&lt;&gt;""),(E188-C188)/C188*100,"")</f>
        <v/>
      </c>
    </row>
    <row r="189">
      <c r="F189">
        <f>IF(AND(C189&lt;&gt;"",E189&lt;&gt;""),E189-C189,"")</f>
        <v/>
      </c>
      <c r="G189">
        <f>IF(AND(C189&lt;&gt;"",C189&lt;&gt;0,E189&lt;&gt;""),(E189-C189)/C189*100,"")</f>
        <v/>
      </c>
    </row>
    <row r="190">
      <c r="F190">
        <f>IF(AND(C190&lt;&gt;"",E190&lt;&gt;""),E190-C190,"")</f>
        <v/>
      </c>
      <c r="G190">
        <f>IF(AND(C190&lt;&gt;"",C190&lt;&gt;0,E190&lt;&gt;""),(E190-C190)/C190*100,"")</f>
        <v/>
      </c>
    </row>
    <row r="191">
      <c r="F191">
        <f>IF(AND(C191&lt;&gt;"",E191&lt;&gt;""),E191-C191,"")</f>
        <v/>
      </c>
      <c r="G191">
        <f>IF(AND(C191&lt;&gt;"",C191&lt;&gt;0,E191&lt;&gt;""),(E191-C191)/C191*100,"")</f>
        <v/>
      </c>
    </row>
    <row r="192">
      <c r="F192">
        <f>IF(AND(C192&lt;&gt;"",E192&lt;&gt;""),E192-C192,"")</f>
        <v/>
      </c>
      <c r="G192">
        <f>IF(AND(C192&lt;&gt;"",C192&lt;&gt;0,E192&lt;&gt;""),(E192-C192)/C192*100,"")</f>
        <v/>
      </c>
    </row>
    <row r="193">
      <c r="F193">
        <f>IF(AND(C193&lt;&gt;"",E193&lt;&gt;""),E193-C193,"")</f>
        <v/>
      </c>
      <c r="G193">
        <f>IF(AND(C193&lt;&gt;"",C193&lt;&gt;0,E193&lt;&gt;""),(E193-C193)/C193*100,"")</f>
        <v/>
      </c>
    </row>
    <row r="194">
      <c r="F194">
        <f>IF(AND(C194&lt;&gt;"",E194&lt;&gt;""),E194-C194,"")</f>
        <v/>
      </c>
      <c r="G194">
        <f>IF(AND(C194&lt;&gt;"",C194&lt;&gt;0,E194&lt;&gt;""),(E194-C194)/C194*100,"")</f>
        <v/>
      </c>
    </row>
    <row r="195">
      <c r="F195">
        <f>IF(AND(C195&lt;&gt;"",E195&lt;&gt;""),E195-C195,"")</f>
        <v/>
      </c>
      <c r="G195">
        <f>IF(AND(C195&lt;&gt;"",C195&lt;&gt;0,E195&lt;&gt;""),(E195-C195)/C195*100,"")</f>
        <v/>
      </c>
    </row>
    <row r="196">
      <c r="F196">
        <f>IF(AND(C196&lt;&gt;"",E196&lt;&gt;""),E196-C196,"")</f>
        <v/>
      </c>
      <c r="G196">
        <f>IF(AND(C196&lt;&gt;"",C196&lt;&gt;0,E196&lt;&gt;""),(E196-C196)/C196*100,"")</f>
        <v/>
      </c>
    </row>
    <row r="197">
      <c r="F197">
        <f>IF(AND(C197&lt;&gt;"",E197&lt;&gt;""),E197-C197,"")</f>
        <v/>
      </c>
      <c r="G197">
        <f>IF(AND(C197&lt;&gt;"",C197&lt;&gt;0,E197&lt;&gt;""),(E197-C197)/C197*100,"")</f>
        <v/>
      </c>
    </row>
    <row r="198">
      <c r="F198">
        <f>IF(AND(C198&lt;&gt;"",E198&lt;&gt;""),E198-C198,"")</f>
        <v/>
      </c>
      <c r="G198">
        <f>IF(AND(C198&lt;&gt;"",C198&lt;&gt;0,E198&lt;&gt;""),(E198-C198)/C198*100,"")</f>
        <v/>
      </c>
    </row>
    <row r="199">
      <c r="F199">
        <f>IF(AND(C199&lt;&gt;"",E199&lt;&gt;""),E199-C199,"")</f>
        <v/>
      </c>
      <c r="G199">
        <f>IF(AND(C199&lt;&gt;"",C199&lt;&gt;0,E199&lt;&gt;""),(E199-C199)/C199*100,"")</f>
        <v/>
      </c>
    </row>
    <row r="200">
      <c r="F200">
        <f>IF(AND(C200&lt;&gt;"",E200&lt;&gt;""),E200-C200,"")</f>
        <v/>
      </c>
      <c r="G200">
        <f>IF(AND(C200&lt;&gt;"",C200&lt;&gt;0,E200&lt;&gt;""),(E200-C200)/C200*100,"")</f>
        <v/>
      </c>
    </row>
    <row r="201">
      <c r="F201">
        <f>IF(AND(C201&lt;&gt;"",E201&lt;&gt;""),E201-C201,"")</f>
        <v/>
      </c>
      <c r="G201">
        <f>IF(AND(C201&lt;&gt;"",C201&lt;&gt;0,E201&lt;&gt;""),(E201-C201)/C201*100,"")</f>
        <v/>
      </c>
    </row>
    <row r="202">
      <c r="F202">
        <f>IF(AND(C202&lt;&gt;"",E202&lt;&gt;""),E202-C202,"")</f>
        <v/>
      </c>
      <c r="G202">
        <f>IF(AND(C202&lt;&gt;"",C202&lt;&gt;0,E202&lt;&gt;""),(E202-C202)/C202*100,"")</f>
        <v/>
      </c>
    </row>
    <row r="203">
      <c r="F203">
        <f>IF(AND(C203&lt;&gt;"",E203&lt;&gt;""),E203-C203,"")</f>
        <v/>
      </c>
      <c r="G203">
        <f>IF(AND(C203&lt;&gt;"",C203&lt;&gt;0,E203&lt;&gt;""),(E203-C203)/C203*100,"")</f>
        <v/>
      </c>
    </row>
    <row r="204">
      <c r="F204">
        <f>IF(AND(C204&lt;&gt;"",E204&lt;&gt;""),E204-C204,"")</f>
        <v/>
      </c>
      <c r="G204">
        <f>IF(AND(C204&lt;&gt;"",C204&lt;&gt;0,E204&lt;&gt;""),(E204-C204)/C204*100,"")</f>
        <v/>
      </c>
    </row>
    <row r="205">
      <c r="F205">
        <f>IF(AND(C205&lt;&gt;"",E205&lt;&gt;""),E205-C205,"")</f>
        <v/>
      </c>
      <c r="G205">
        <f>IF(AND(C205&lt;&gt;"",C205&lt;&gt;0,E205&lt;&gt;""),(E205-C205)/C205*100,"")</f>
        <v/>
      </c>
    </row>
    <row r="206">
      <c r="F206">
        <f>IF(AND(C206&lt;&gt;"",E206&lt;&gt;""),E206-C206,"")</f>
        <v/>
      </c>
      <c r="G206">
        <f>IF(AND(C206&lt;&gt;"",C206&lt;&gt;0,E206&lt;&gt;""),(E206-C206)/C206*100,"")</f>
        <v/>
      </c>
    </row>
    <row r="207">
      <c r="F207">
        <f>IF(AND(C207&lt;&gt;"",E207&lt;&gt;""),E207-C207,"")</f>
        <v/>
      </c>
      <c r="G207">
        <f>IF(AND(C207&lt;&gt;"",C207&lt;&gt;0,E207&lt;&gt;""),(E207-C207)/C207*100,"")</f>
        <v/>
      </c>
    </row>
    <row r="208">
      <c r="F208">
        <f>IF(AND(C208&lt;&gt;"",E208&lt;&gt;""),E208-C208,"")</f>
        <v/>
      </c>
      <c r="G208">
        <f>IF(AND(C208&lt;&gt;"",C208&lt;&gt;0,E208&lt;&gt;""),(E208-C208)/C208*100,"")</f>
        <v/>
      </c>
    </row>
    <row r="209">
      <c r="F209">
        <f>IF(AND(C209&lt;&gt;"",E209&lt;&gt;""),E209-C209,"")</f>
        <v/>
      </c>
      <c r="G209">
        <f>IF(AND(C209&lt;&gt;"",C209&lt;&gt;0,E209&lt;&gt;""),(E209-C209)/C209*100,"")</f>
        <v/>
      </c>
    </row>
    <row r="210">
      <c r="F210">
        <f>IF(AND(C210&lt;&gt;"",E210&lt;&gt;""),E210-C210,"")</f>
        <v/>
      </c>
      <c r="G210">
        <f>IF(AND(C210&lt;&gt;"",C210&lt;&gt;0,E210&lt;&gt;""),(E210-C210)/C210*100,"")</f>
        <v/>
      </c>
    </row>
    <row r="211">
      <c r="F211">
        <f>IF(AND(C211&lt;&gt;"",E211&lt;&gt;""),E211-C211,"")</f>
        <v/>
      </c>
      <c r="G211">
        <f>IF(AND(C211&lt;&gt;"",C211&lt;&gt;0,E211&lt;&gt;""),(E211-C211)/C211*100,"")</f>
        <v/>
      </c>
    </row>
    <row r="212">
      <c r="F212">
        <f>IF(AND(C212&lt;&gt;"",E212&lt;&gt;""),E212-C212,"")</f>
        <v/>
      </c>
      <c r="G212">
        <f>IF(AND(C212&lt;&gt;"",C212&lt;&gt;0,E212&lt;&gt;""),(E212-C212)/C212*100,"")</f>
        <v/>
      </c>
    </row>
    <row r="213">
      <c r="F213">
        <f>IF(AND(C213&lt;&gt;"",E213&lt;&gt;""),E213-C213,"")</f>
        <v/>
      </c>
      <c r="G213">
        <f>IF(AND(C213&lt;&gt;"",C213&lt;&gt;0,E213&lt;&gt;""),(E213-C213)/C213*100,"")</f>
        <v/>
      </c>
    </row>
    <row r="214">
      <c r="F214">
        <f>IF(AND(C214&lt;&gt;"",E214&lt;&gt;""),E214-C214,"")</f>
        <v/>
      </c>
      <c r="G214">
        <f>IF(AND(C214&lt;&gt;"",C214&lt;&gt;0,E214&lt;&gt;""),(E214-C214)/C214*100,"")</f>
        <v/>
      </c>
    </row>
    <row r="215">
      <c r="F215">
        <f>IF(AND(C215&lt;&gt;"",E215&lt;&gt;""),E215-C215,"")</f>
        <v/>
      </c>
      <c r="G215">
        <f>IF(AND(C215&lt;&gt;"",C215&lt;&gt;0,E215&lt;&gt;""),(E215-C215)/C215*100,"")</f>
        <v/>
      </c>
    </row>
    <row r="216">
      <c r="F216">
        <f>IF(AND(C216&lt;&gt;"",E216&lt;&gt;""),E216-C216,"")</f>
        <v/>
      </c>
      <c r="G216">
        <f>IF(AND(C216&lt;&gt;"",C216&lt;&gt;0,E216&lt;&gt;""),(E216-C216)/C216*100,"")</f>
        <v/>
      </c>
    </row>
    <row r="217">
      <c r="F217">
        <f>IF(AND(C217&lt;&gt;"",E217&lt;&gt;""),E217-C217,"")</f>
        <v/>
      </c>
      <c r="G217">
        <f>IF(AND(C217&lt;&gt;"",C217&lt;&gt;0,E217&lt;&gt;""),(E217-C217)/C217*100,"")</f>
        <v/>
      </c>
    </row>
    <row r="218">
      <c r="F218">
        <f>IF(AND(C218&lt;&gt;"",E218&lt;&gt;""),E218-C218,"")</f>
        <v/>
      </c>
      <c r="G218">
        <f>IF(AND(C218&lt;&gt;"",C218&lt;&gt;0,E218&lt;&gt;""),(E218-C218)/C218*100,"")</f>
        <v/>
      </c>
    </row>
    <row r="219">
      <c r="F219">
        <f>IF(AND(C219&lt;&gt;"",E219&lt;&gt;""),E219-C219,"")</f>
        <v/>
      </c>
      <c r="G219">
        <f>IF(AND(C219&lt;&gt;"",C219&lt;&gt;0,E219&lt;&gt;""),(E219-C219)/C219*100,"")</f>
        <v/>
      </c>
    </row>
    <row r="220">
      <c r="F220">
        <f>IF(AND(C220&lt;&gt;"",E220&lt;&gt;""),E220-C220,"")</f>
        <v/>
      </c>
      <c r="G220">
        <f>IF(AND(C220&lt;&gt;"",C220&lt;&gt;0,E220&lt;&gt;""),(E220-C220)/C220*100,"")</f>
        <v/>
      </c>
    </row>
    <row r="221">
      <c r="F221">
        <f>IF(AND(C221&lt;&gt;"",E221&lt;&gt;""),E221-C221,"")</f>
        <v/>
      </c>
      <c r="G221">
        <f>IF(AND(C221&lt;&gt;"",C221&lt;&gt;0,E221&lt;&gt;""),(E221-C221)/C221*100,"")</f>
        <v/>
      </c>
    </row>
    <row r="222">
      <c r="F222">
        <f>IF(AND(C222&lt;&gt;"",E222&lt;&gt;""),E222-C222,"")</f>
        <v/>
      </c>
      <c r="G222">
        <f>IF(AND(C222&lt;&gt;"",C222&lt;&gt;0,E222&lt;&gt;""),(E222-C222)/C222*100,"")</f>
        <v/>
      </c>
    </row>
    <row r="223">
      <c r="F223">
        <f>IF(AND(C223&lt;&gt;"",E223&lt;&gt;""),E223-C223,"")</f>
        <v/>
      </c>
      <c r="G223">
        <f>IF(AND(C223&lt;&gt;"",C223&lt;&gt;0,E223&lt;&gt;""),(E223-C223)/C223*100,"")</f>
        <v/>
      </c>
    </row>
    <row r="224">
      <c r="F224">
        <f>IF(AND(C224&lt;&gt;"",E224&lt;&gt;""),E224-C224,"")</f>
        <v/>
      </c>
      <c r="G224">
        <f>IF(AND(C224&lt;&gt;"",C224&lt;&gt;0,E224&lt;&gt;""),(E224-C224)/C224*100,"")</f>
        <v/>
      </c>
    </row>
    <row r="225">
      <c r="F225">
        <f>IF(AND(C225&lt;&gt;"",E225&lt;&gt;""),E225-C225,"")</f>
        <v/>
      </c>
      <c r="G225">
        <f>IF(AND(C225&lt;&gt;"",C225&lt;&gt;0,E225&lt;&gt;""),(E225-C225)/C225*100,"")</f>
        <v/>
      </c>
    </row>
    <row r="226">
      <c r="F226">
        <f>IF(AND(C226&lt;&gt;"",E226&lt;&gt;""),E226-C226,"")</f>
        <v/>
      </c>
      <c r="G226">
        <f>IF(AND(C226&lt;&gt;"",C226&lt;&gt;0,E226&lt;&gt;""),(E226-C226)/C226*100,"")</f>
        <v/>
      </c>
    </row>
    <row r="227">
      <c r="F227">
        <f>IF(AND(C227&lt;&gt;"",E227&lt;&gt;""),E227-C227,"")</f>
        <v/>
      </c>
      <c r="G227">
        <f>IF(AND(C227&lt;&gt;"",C227&lt;&gt;0,E227&lt;&gt;""),(E227-C227)/C227*100,"")</f>
        <v/>
      </c>
    </row>
    <row r="228">
      <c r="F228">
        <f>IF(AND(C228&lt;&gt;"",E228&lt;&gt;""),E228-C228,"")</f>
        <v/>
      </c>
      <c r="G228">
        <f>IF(AND(C228&lt;&gt;"",C228&lt;&gt;0,E228&lt;&gt;""),(E228-C228)/C228*100,"")</f>
        <v/>
      </c>
    </row>
    <row r="229">
      <c r="F229">
        <f>IF(AND(C229&lt;&gt;"",E229&lt;&gt;""),E229-C229,"")</f>
        <v/>
      </c>
      <c r="G229">
        <f>IF(AND(C229&lt;&gt;"",C229&lt;&gt;0,E229&lt;&gt;""),(E229-C229)/C229*100,"")</f>
        <v/>
      </c>
    </row>
    <row r="230">
      <c r="F230">
        <f>IF(AND(C230&lt;&gt;"",E230&lt;&gt;""),E230-C230,"")</f>
        <v/>
      </c>
      <c r="G230">
        <f>IF(AND(C230&lt;&gt;"",C230&lt;&gt;0,E230&lt;&gt;""),(E230-C230)/C230*100,"")</f>
        <v/>
      </c>
    </row>
    <row r="231">
      <c r="F231">
        <f>IF(AND(C231&lt;&gt;"",E231&lt;&gt;""),E231-C231,"")</f>
        <v/>
      </c>
      <c r="G231">
        <f>IF(AND(C231&lt;&gt;"",C231&lt;&gt;0,E231&lt;&gt;""),(E231-C231)/C231*100,"")</f>
        <v/>
      </c>
    </row>
    <row r="232">
      <c r="F232">
        <f>IF(AND(C232&lt;&gt;"",E232&lt;&gt;""),E232-C232,"")</f>
        <v/>
      </c>
      <c r="G232">
        <f>IF(AND(C232&lt;&gt;"",C232&lt;&gt;0,E232&lt;&gt;""),(E232-C232)/C232*100,"")</f>
        <v/>
      </c>
    </row>
    <row r="233">
      <c r="F233">
        <f>IF(AND(C233&lt;&gt;"",E233&lt;&gt;""),E233-C233,"")</f>
        <v/>
      </c>
      <c r="G233">
        <f>IF(AND(C233&lt;&gt;"",C233&lt;&gt;0,E233&lt;&gt;""),(E233-C233)/C233*100,"")</f>
        <v/>
      </c>
    </row>
    <row r="234">
      <c r="F234">
        <f>IF(AND(C234&lt;&gt;"",E234&lt;&gt;""),E234-C234,"")</f>
        <v/>
      </c>
      <c r="G234">
        <f>IF(AND(C234&lt;&gt;"",C234&lt;&gt;0,E234&lt;&gt;""),(E234-C234)/C234*100,"")</f>
        <v/>
      </c>
    </row>
    <row r="235">
      <c r="F235">
        <f>IF(AND(C235&lt;&gt;"",E235&lt;&gt;""),E235-C235,"")</f>
        <v/>
      </c>
      <c r="G235">
        <f>IF(AND(C235&lt;&gt;"",C235&lt;&gt;0,E235&lt;&gt;""),(E235-C235)/C235*100,"")</f>
        <v/>
      </c>
    </row>
    <row r="236">
      <c r="F236">
        <f>IF(AND(C236&lt;&gt;"",E236&lt;&gt;""),E236-C236,"")</f>
        <v/>
      </c>
      <c r="G236">
        <f>IF(AND(C236&lt;&gt;"",C236&lt;&gt;0,E236&lt;&gt;""),(E236-C236)/C236*100,"")</f>
        <v/>
      </c>
    </row>
    <row r="237">
      <c r="F237">
        <f>IF(AND(C237&lt;&gt;"",E237&lt;&gt;""),E237-C237,"")</f>
        <v/>
      </c>
      <c r="G237">
        <f>IF(AND(C237&lt;&gt;"",C237&lt;&gt;0,E237&lt;&gt;""),(E237-C237)/C237*100,"")</f>
        <v/>
      </c>
    </row>
    <row r="238">
      <c r="F238">
        <f>IF(AND(C238&lt;&gt;"",E238&lt;&gt;""),E238-C238,"")</f>
        <v/>
      </c>
      <c r="G238">
        <f>IF(AND(C238&lt;&gt;"",C238&lt;&gt;0,E238&lt;&gt;""),(E238-C238)/C238*100,"")</f>
        <v/>
      </c>
    </row>
    <row r="239">
      <c r="F239">
        <f>IF(AND(C239&lt;&gt;"",E239&lt;&gt;""),E239-C239,"")</f>
        <v/>
      </c>
      <c r="G239">
        <f>IF(AND(C239&lt;&gt;"",C239&lt;&gt;0,E239&lt;&gt;""),(E239-C239)/C239*100,"")</f>
        <v/>
      </c>
    </row>
    <row r="240">
      <c r="F240">
        <f>IF(AND(C240&lt;&gt;"",E240&lt;&gt;""),E240-C240,"")</f>
        <v/>
      </c>
      <c r="G240">
        <f>IF(AND(C240&lt;&gt;"",C240&lt;&gt;0,E240&lt;&gt;""),(E240-C240)/C240*100,"")</f>
        <v/>
      </c>
    </row>
    <row r="241">
      <c r="F241">
        <f>IF(AND(C241&lt;&gt;"",E241&lt;&gt;""),E241-C241,"")</f>
        <v/>
      </c>
      <c r="G241">
        <f>IF(AND(C241&lt;&gt;"",C241&lt;&gt;0,E241&lt;&gt;""),(E241-C241)/C241*100,"")</f>
        <v/>
      </c>
    </row>
    <row r="242">
      <c r="F242">
        <f>IF(AND(C242&lt;&gt;"",E242&lt;&gt;""),E242-C242,"")</f>
        <v/>
      </c>
      <c r="G242">
        <f>IF(AND(C242&lt;&gt;"",C242&lt;&gt;0,E242&lt;&gt;""),(E242-C242)/C242*100,"")</f>
        <v/>
      </c>
    </row>
    <row r="243">
      <c r="F243">
        <f>IF(AND(C243&lt;&gt;"",E243&lt;&gt;""),E243-C243,"")</f>
        <v/>
      </c>
      <c r="G243">
        <f>IF(AND(C243&lt;&gt;"",C243&lt;&gt;0,E243&lt;&gt;""),(E243-C243)/C243*100,"")</f>
        <v/>
      </c>
    </row>
    <row r="244">
      <c r="F244">
        <f>IF(AND(C244&lt;&gt;"",E244&lt;&gt;""),E244-C244,"")</f>
        <v/>
      </c>
      <c r="G244">
        <f>IF(AND(C244&lt;&gt;"",C244&lt;&gt;0,E244&lt;&gt;""),(E244-C244)/C244*100,"")</f>
        <v/>
      </c>
    </row>
    <row r="245">
      <c r="F245">
        <f>IF(AND(C245&lt;&gt;"",E245&lt;&gt;""),E245-C245,"")</f>
        <v/>
      </c>
      <c r="G245">
        <f>IF(AND(C245&lt;&gt;"",C245&lt;&gt;0,E245&lt;&gt;""),(E245-C245)/C245*100,"")</f>
        <v/>
      </c>
    </row>
    <row r="246">
      <c r="F246">
        <f>IF(AND(C246&lt;&gt;"",E246&lt;&gt;""),E246-C246,"")</f>
        <v/>
      </c>
      <c r="G246">
        <f>IF(AND(C246&lt;&gt;"",C246&lt;&gt;0,E246&lt;&gt;""),(E246-C246)/C246*100,"")</f>
        <v/>
      </c>
    </row>
    <row r="247">
      <c r="F247">
        <f>IF(AND(C247&lt;&gt;"",E247&lt;&gt;""),E247-C247,"")</f>
        <v/>
      </c>
      <c r="G247">
        <f>IF(AND(C247&lt;&gt;"",C247&lt;&gt;0,E247&lt;&gt;""),(E247-C247)/C247*100,"")</f>
        <v/>
      </c>
    </row>
    <row r="248">
      <c r="F248">
        <f>IF(AND(C248&lt;&gt;"",E248&lt;&gt;""),E248-C248,"")</f>
        <v/>
      </c>
      <c r="G248">
        <f>IF(AND(C248&lt;&gt;"",C248&lt;&gt;0,E248&lt;&gt;""),(E248-C248)/C248*100,"")</f>
        <v/>
      </c>
    </row>
    <row r="249">
      <c r="F249">
        <f>IF(AND(C249&lt;&gt;"",E249&lt;&gt;""),E249-C249,"")</f>
        <v/>
      </c>
      <c r="G249">
        <f>IF(AND(C249&lt;&gt;"",C249&lt;&gt;0,E249&lt;&gt;""),(E249-C249)/C249*100,"")</f>
        <v/>
      </c>
    </row>
    <row r="250">
      <c r="F250">
        <f>IF(AND(C250&lt;&gt;"",E250&lt;&gt;""),E250-C250,"")</f>
        <v/>
      </c>
      <c r="G250">
        <f>IF(AND(C250&lt;&gt;"",C250&lt;&gt;0,E250&lt;&gt;""),(E250-C250)/C250*100,"")</f>
        <v/>
      </c>
    </row>
    <row r="251">
      <c r="F251">
        <f>IF(AND(C251&lt;&gt;"",E251&lt;&gt;""),E251-C251,"")</f>
        <v/>
      </c>
      <c r="G251">
        <f>IF(AND(C251&lt;&gt;"",C251&lt;&gt;0,E251&lt;&gt;""),(E251-C251)/C251*100,"")</f>
        <v/>
      </c>
    </row>
    <row r="252">
      <c r="F252">
        <f>IF(AND(C252&lt;&gt;"",E252&lt;&gt;""),E252-C252,"")</f>
        <v/>
      </c>
      <c r="G252">
        <f>IF(AND(C252&lt;&gt;"",C252&lt;&gt;0,E252&lt;&gt;""),(E252-C252)/C252*100,"")</f>
        <v/>
      </c>
    </row>
    <row r="253">
      <c r="F253">
        <f>IF(AND(C253&lt;&gt;"",E253&lt;&gt;""),E253-C253,"")</f>
        <v/>
      </c>
      <c r="G253">
        <f>IF(AND(C253&lt;&gt;"",C253&lt;&gt;0,E253&lt;&gt;""),(E253-C253)/C253*100,"")</f>
        <v/>
      </c>
    </row>
    <row r="254">
      <c r="F254">
        <f>IF(AND(C254&lt;&gt;"",E254&lt;&gt;""),E254-C254,"")</f>
        <v/>
      </c>
      <c r="G254">
        <f>IF(AND(C254&lt;&gt;"",C254&lt;&gt;0,E254&lt;&gt;""),(E254-C254)/C254*100,"")</f>
        <v/>
      </c>
    </row>
    <row r="255">
      <c r="F255">
        <f>IF(AND(C255&lt;&gt;"",E255&lt;&gt;""),E255-C255,"")</f>
        <v/>
      </c>
      <c r="G255">
        <f>IF(AND(C255&lt;&gt;"",C255&lt;&gt;0,E255&lt;&gt;""),(E255-C255)/C255*100,"")</f>
        <v/>
      </c>
    </row>
    <row r="256">
      <c r="F256">
        <f>IF(AND(C256&lt;&gt;"",E256&lt;&gt;""),E256-C256,"")</f>
        <v/>
      </c>
      <c r="G256">
        <f>IF(AND(C256&lt;&gt;"",C256&lt;&gt;0,E256&lt;&gt;""),(E256-C256)/C256*100,"")</f>
        <v/>
      </c>
    </row>
    <row r="257">
      <c r="F257">
        <f>IF(AND(C257&lt;&gt;"",E257&lt;&gt;""),E257-C257,"")</f>
        <v/>
      </c>
      <c r="G257">
        <f>IF(AND(C257&lt;&gt;"",C257&lt;&gt;0,E257&lt;&gt;""),(E257-C257)/C257*100,"")</f>
        <v/>
      </c>
    </row>
    <row r="258">
      <c r="F258">
        <f>IF(AND(C258&lt;&gt;"",E258&lt;&gt;""),E258-C258,"")</f>
        <v/>
      </c>
      <c r="G258">
        <f>IF(AND(C258&lt;&gt;"",C258&lt;&gt;0,E258&lt;&gt;""),(E258-C258)/C258*100,"")</f>
        <v/>
      </c>
    </row>
    <row r="259">
      <c r="F259">
        <f>IF(AND(C259&lt;&gt;"",E259&lt;&gt;""),E259-C259,"")</f>
        <v/>
      </c>
      <c r="G259">
        <f>IF(AND(C259&lt;&gt;"",C259&lt;&gt;0,E259&lt;&gt;""),(E259-C259)/C259*100,"")</f>
        <v/>
      </c>
    </row>
    <row r="260">
      <c r="F260">
        <f>IF(AND(C260&lt;&gt;"",E260&lt;&gt;""),E260-C260,"")</f>
        <v/>
      </c>
      <c r="G260">
        <f>IF(AND(C260&lt;&gt;"",C260&lt;&gt;0,E260&lt;&gt;""),(E260-C260)/C260*100,"")</f>
        <v/>
      </c>
    </row>
    <row r="261">
      <c r="F261">
        <f>IF(AND(C261&lt;&gt;"",E261&lt;&gt;""),E261-C261,"")</f>
        <v/>
      </c>
      <c r="G261">
        <f>IF(AND(C261&lt;&gt;"",C261&lt;&gt;0,E261&lt;&gt;""),(E261-C261)/C261*100,"")</f>
        <v/>
      </c>
    </row>
    <row r="262">
      <c r="F262">
        <f>IF(AND(C262&lt;&gt;"",E262&lt;&gt;""),E262-C262,"")</f>
        <v/>
      </c>
      <c r="G262">
        <f>IF(AND(C262&lt;&gt;"",C262&lt;&gt;0,E262&lt;&gt;""),(E262-C262)/C262*100,"")</f>
        <v/>
      </c>
    </row>
    <row r="263">
      <c r="F263">
        <f>IF(AND(C263&lt;&gt;"",E263&lt;&gt;""),E263-C263,"")</f>
        <v/>
      </c>
      <c r="G263">
        <f>IF(AND(C263&lt;&gt;"",C263&lt;&gt;0,E263&lt;&gt;""),(E263-C263)/C263*100,"")</f>
        <v/>
      </c>
    </row>
    <row r="264">
      <c r="F264">
        <f>IF(AND(C264&lt;&gt;"",E264&lt;&gt;""),E264-C264,"")</f>
        <v/>
      </c>
      <c r="G264">
        <f>IF(AND(C264&lt;&gt;"",C264&lt;&gt;0,E264&lt;&gt;""),(E264-C264)/C264*100,"")</f>
        <v/>
      </c>
    </row>
    <row r="265">
      <c r="F265">
        <f>IF(AND(C265&lt;&gt;"",E265&lt;&gt;""),E265-C265,"")</f>
        <v/>
      </c>
      <c r="G265">
        <f>IF(AND(C265&lt;&gt;"",C265&lt;&gt;0,E265&lt;&gt;""),(E265-C265)/C265*100,"")</f>
        <v/>
      </c>
    </row>
    <row r="266">
      <c r="F266">
        <f>IF(AND(C266&lt;&gt;"",E266&lt;&gt;""),E266-C266,"")</f>
        <v/>
      </c>
      <c r="G266">
        <f>IF(AND(C266&lt;&gt;"",C266&lt;&gt;0,E266&lt;&gt;""),(E266-C266)/C266*100,"")</f>
        <v/>
      </c>
    </row>
    <row r="267">
      <c r="F267">
        <f>IF(AND(C267&lt;&gt;"",E267&lt;&gt;""),E267-C267,"")</f>
        <v/>
      </c>
      <c r="G267">
        <f>IF(AND(C267&lt;&gt;"",C267&lt;&gt;0,E267&lt;&gt;""),(E267-C267)/C267*100,"")</f>
        <v/>
      </c>
    </row>
    <row r="268">
      <c r="F268">
        <f>IF(AND(C268&lt;&gt;"",E268&lt;&gt;""),E268-C268,"")</f>
        <v/>
      </c>
      <c r="G268">
        <f>IF(AND(C268&lt;&gt;"",C268&lt;&gt;0,E268&lt;&gt;""),(E268-C268)/C268*100,"")</f>
        <v/>
      </c>
    </row>
    <row r="269">
      <c r="F269">
        <f>IF(AND(C269&lt;&gt;"",E269&lt;&gt;""),E269-C269,"")</f>
        <v/>
      </c>
      <c r="G269">
        <f>IF(AND(C269&lt;&gt;"",C269&lt;&gt;0,E269&lt;&gt;""),(E269-C269)/C269*100,"")</f>
        <v/>
      </c>
    </row>
    <row r="270">
      <c r="F270">
        <f>IF(AND(C270&lt;&gt;"",E270&lt;&gt;""),E270-C270,"")</f>
        <v/>
      </c>
      <c r="G270">
        <f>IF(AND(C270&lt;&gt;"",C270&lt;&gt;0,E270&lt;&gt;""),(E270-C270)/C270*100,"")</f>
        <v/>
      </c>
    </row>
    <row r="271">
      <c r="F271">
        <f>IF(AND(C271&lt;&gt;"",E271&lt;&gt;""),E271-C271,"")</f>
        <v/>
      </c>
      <c r="G271">
        <f>IF(AND(C271&lt;&gt;"",C271&lt;&gt;0,E271&lt;&gt;""),(E271-C271)/C271*100,"")</f>
        <v/>
      </c>
    </row>
    <row r="272">
      <c r="F272">
        <f>IF(AND(C272&lt;&gt;"",E272&lt;&gt;""),E272-C272,"")</f>
        <v/>
      </c>
      <c r="G272">
        <f>IF(AND(C272&lt;&gt;"",C272&lt;&gt;0,E272&lt;&gt;""),(E272-C272)/C272*100,"")</f>
        <v/>
      </c>
    </row>
    <row r="273">
      <c r="F273">
        <f>IF(AND(C273&lt;&gt;"",E273&lt;&gt;""),E273-C273,"")</f>
        <v/>
      </c>
      <c r="G273">
        <f>IF(AND(C273&lt;&gt;"",C273&lt;&gt;0,E273&lt;&gt;""),(E273-C273)/C273*100,"")</f>
        <v/>
      </c>
    </row>
    <row r="274">
      <c r="F274">
        <f>IF(AND(C274&lt;&gt;"",E274&lt;&gt;""),E274-C274,"")</f>
        <v/>
      </c>
      <c r="G274">
        <f>IF(AND(C274&lt;&gt;"",C274&lt;&gt;0,E274&lt;&gt;""),(E274-C274)/C274*100,"")</f>
        <v/>
      </c>
    </row>
    <row r="275">
      <c r="F275">
        <f>IF(AND(C275&lt;&gt;"",E275&lt;&gt;""),E275-C275,"")</f>
        <v/>
      </c>
      <c r="G275">
        <f>IF(AND(C275&lt;&gt;"",C275&lt;&gt;0,E275&lt;&gt;""),(E275-C275)/C275*100,"")</f>
        <v/>
      </c>
    </row>
    <row r="276">
      <c r="F276">
        <f>IF(AND(C276&lt;&gt;"",E276&lt;&gt;""),E276-C276,"")</f>
        <v/>
      </c>
      <c r="G276">
        <f>IF(AND(C276&lt;&gt;"",C276&lt;&gt;0,E276&lt;&gt;""),(E276-C276)/C276*100,"")</f>
        <v/>
      </c>
    </row>
    <row r="277">
      <c r="F277">
        <f>IF(AND(C277&lt;&gt;"",E277&lt;&gt;""),E277-C277,"")</f>
        <v/>
      </c>
      <c r="G277">
        <f>IF(AND(C277&lt;&gt;"",C277&lt;&gt;0,E277&lt;&gt;""),(E277-C277)/C277*100,"")</f>
        <v/>
      </c>
    </row>
    <row r="278">
      <c r="F278">
        <f>IF(AND(C278&lt;&gt;"",E278&lt;&gt;""),E278-C278,"")</f>
        <v/>
      </c>
      <c r="G278">
        <f>IF(AND(C278&lt;&gt;"",C278&lt;&gt;0,E278&lt;&gt;""),(E278-C278)/C278*100,"")</f>
        <v/>
      </c>
    </row>
    <row r="279">
      <c r="F279">
        <f>IF(AND(C279&lt;&gt;"",E279&lt;&gt;""),E279-C279,"")</f>
        <v/>
      </c>
      <c r="G279">
        <f>IF(AND(C279&lt;&gt;"",C279&lt;&gt;0,E279&lt;&gt;""),(E279-C279)/C279*100,"")</f>
        <v/>
      </c>
    </row>
    <row r="280">
      <c r="F280">
        <f>IF(AND(C280&lt;&gt;"",E280&lt;&gt;""),E280-C280,"")</f>
        <v/>
      </c>
      <c r="G280">
        <f>IF(AND(C280&lt;&gt;"",C280&lt;&gt;0,E280&lt;&gt;""),(E280-C280)/C280*100,"")</f>
        <v/>
      </c>
    </row>
    <row r="281">
      <c r="F281">
        <f>IF(AND(C281&lt;&gt;"",E281&lt;&gt;""),E281-C281,"")</f>
        <v/>
      </c>
      <c r="G281">
        <f>IF(AND(C281&lt;&gt;"",C281&lt;&gt;0,E281&lt;&gt;""),(E281-C281)/C281*100,"")</f>
        <v/>
      </c>
    </row>
    <row r="282">
      <c r="F282">
        <f>IF(AND(C282&lt;&gt;"",E282&lt;&gt;""),E282-C282,"")</f>
        <v/>
      </c>
      <c r="G282">
        <f>IF(AND(C282&lt;&gt;"",C282&lt;&gt;0,E282&lt;&gt;""),(E282-C282)/C282*100,"")</f>
        <v/>
      </c>
    </row>
    <row r="283">
      <c r="F283">
        <f>IF(AND(C283&lt;&gt;"",E283&lt;&gt;""),E283-C283,"")</f>
        <v/>
      </c>
      <c r="G283">
        <f>IF(AND(C283&lt;&gt;"",C283&lt;&gt;0,E283&lt;&gt;""),(E283-C283)/C283*100,"")</f>
        <v/>
      </c>
    </row>
    <row r="284">
      <c r="F284">
        <f>IF(AND(C284&lt;&gt;"",E284&lt;&gt;""),E284-C284,"")</f>
        <v/>
      </c>
      <c r="G284">
        <f>IF(AND(C284&lt;&gt;"",C284&lt;&gt;0,E284&lt;&gt;""),(E284-C284)/C284*100,"")</f>
        <v/>
      </c>
    </row>
    <row r="285">
      <c r="F285">
        <f>IF(AND(C285&lt;&gt;"",E285&lt;&gt;""),E285-C285,"")</f>
        <v/>
      </c>
      <c r="G285">
        <f>IF(AND(C285&lt;&gt;"",C285&lt;&gt;0,E285&lt;&gt;""),(E285-C285)/C285*100,"")</f>
        <v/>
      </c>
    </row>
    <row r="286">
      <c r="F286">
        <f>IF(AND(C286&lt;&gt;"",E286&lt;&gt;""),E286-C286,"")</f>
        <v/>
      </c>
      <c r="G286">
        <f>IF(AND(C286&lt;&gt;"",C286&lt;&gt;0,E286&lt;&gt;""),(E286-C286)/C286*100,"")</f>
        <v/>
      </c>
    </row>
    <row r="287">
      <c r="F287">
        <f>IF(AND(C287&lt;&gt;"",E287&lt;&gt;""),E287-C287,"")</f>
        <v/>
      </c>
      <c r="G287">
        <f>IF(AND(C287&lt;&gt;"",C287&lt;&gt;0,E287&lt;&gt;""),(E287-C287)/C287*100,"")</f>
        <v/>
      </c>
    </row>
    <row r="288">
      <c r="F288">
        <f>IF(AND(C288&lt;&gt;"",E288&lt;&gt;""),E288-C288,"")</f>
        <v/>
      </c>
      <c r="G288">
        <f>IF(AND(C288&lt;&gt;"",C288&lt;&gt;0,E288&lt;&gt;""),(E288-C288)/C288*100,"")</f>
        <v/>
      </c>
    </row>
    <row r="289">
      <c r="F289">
        <f>IF(AND(C289&lt;&gt;"",E289&lt;&gt;""),E289-C289,"")</f>
        <v/>
      </c>
      <c r="G289">
        <f>IF(AND(C289&lt;&gt;"",C289&lt;&gt;0,E289&lt;&gt;""),(E289-C289)/C289*100,"")</f>
        <v/>
      </c>
    </row>
    <row r="290">
      <c r="F290">
        <f>IF(AND(C290&lt;&gt;"",E290&lt;&gt;""),E290-C290,"")</f>
        <v/>
      </c>
      <c r="G290">
        <f>IF(AND(C290&lt;&gt;"",C290&lt;&gt;0,E290&lt;&gt;""),(E290-C290)/C290*100,"")</f>
        <v/>
      </c>
    </row>
    <row r="291">
      <c r="F291">
        <f>IF(AND(C291&lt;&gt;"",E291&lt;&gt;""),E291-C291,"")</f>
        <v/>
      </c>
      <c r="G291">
        <f>IF(AND(C291&lt;&gt;"",C291&lt;&gt;0,E291&lt;&gt;""),(E291-C291)/C291*100,"")</f>
        <v/>
      </c>
    </row>
    <row r="292">
      <c r="F292">
        <f>IF(AND(C292&lt;&gt;"",E292&lt;&gt;""),E292-C292,"")</f>
        <v/>
      </c>
      <c r="G292">
        <f>IF(AND(C292&lt;&gt;"",C292&lt;&gt;0,E292&lt;&gt;""),(E292-C292)/C292*100,"")</f>
        <v/>
      </c>
    </row>
    <row r="293">
      <c r="F293">
        <f>IF(AND(C293&lt;&gt;"",E293&lt;&gt;""),E293-C293,"")</f>
        <v/>
      </c>
      <c r="G293">
        <f>IF(AND(C293&lt;&gt;"",C293&lt;&gt;0,E293&lt;&gt;""),(E293-C293)/C293*100,"")</f>
        <v/>
      </c>
    </row>
    <row r="294">
      <c r="F294">
        <f>IF(AND(C294&lt;&gt;"",E294&lt;&gt;""),E294-C294,"")</f>
        <v/>
      </c>
      <c r="G294">
        <f>IF(AND(C294&lt;&gt;"",C294&lt;&gt;0,E294&lt;&gt;""),(E294-C294)/C294*100,"")</f>
        <v/>
      </c>
    </row>
    <row r="295">
      <c r="F295">
        <f>IF(AND(C295&lt;&gt;"",E295&lt;&gt;""),E295-C295,"")</f>
        <v/>
      </c>
      <c r="G295">
        <f>IF(AND(C295&lt;&gt;"",C295&lt;&gt;0,E295&lt;&gt;""),(E295-C295)/C295*100,"")</f>
        <v/>
      </c>
    </row>
    <row r="296">
      <c r="F296">
        <f>IF(AND(C296&lt;&gt;"",E296&lt;&gt;""),E296-C296,"")</f>
        <v/>
      </c>
      <c r="G296">
        <f>IF(AND(C296&lt;&gt;"",C296&lt;&gt;0,E296&lt;&gt;""),(E296-C296)/C296*100,"")</f>
        <v/>
      </c>
    </row>
    <row r="297">
      <c r="F297">
        <f>IF(AND(C297&lt;&gt;"",E297&lt;&gt;""),E297-C297,"")</f>
        <v/>
      </c>
      <c r="G297">
        <f>IF(AND(C297&lt;&gt;"",C297&lt;&gt;0,E297&lt;&gt;""),(E297-C297)/C297*100,"")</f>
        <v/>
      </c>
    </row>
    <row r="298">
      <c r="F298">
        <f>IF(AND(C298&lt;&gt;"",E298&lt;&gt;""),E298-C298,"")</f>
        <v/>
      </c>
      <c r="G298">
        <f>IF(AND(C298&lt;&gt;"",C298&lt;&gt;0,E298&lt;&gt;""),(E298-C298)/C298*100,"")</f>
        <v/>
      </c>
    </row>
    <row r="299">
      <c r="F299">
        <f>IF(AND(C299&lt;&gt;"",E299&lt;&gt;""),E299-C299,"")</f>
        <v/>
      </c>
      <c r="G299">
        <f>IF(AND(C299&lt;&gt;"",C299&lt;&gt;0,E299&lt;&gt;""),(E299-C299)/C299*100,"")</f>
        <v/>
      </c>
    </row>
    <row r="300">
      <c r="F300">
        <f>IF(AND(C300&lt;&gt;"",E300&lt;&gt;""),E300-C300,"")</f>
        <v/>
      </c>
      <c r="G300">
        <f>IF(AND(C300&lt;&gt;"",C300&lt;&gt;0,E300&lt;&gt;""),(E300-C300)/C300*100,"")</f>
        <v/>
      </c>
    </row>
    <row r="301">
      <c r="F301">
        <f>IF(AND(C301&lt;&gt;"",E301&lt;&gt;""),E301-C301,"")</f>
        <v/>
      </c>
      <c r="G301">
        <f>IF(AND(C301&lt;&gt;"",C301&lt;&gt;0,E301&lt;&gt;""),(E301-C301)/C301*100,"")</f>
        <v/>
      </c>
    </row>
    <row r="302">
      <c r="F302">
        <f>IF(AND(C302&lt;&gt;"",E302&lt;&gt;""),E302-C302,"")</f>
        <v/>
      </c>
      <c r="G302">
        <f>IF(AND(C302&lt;&gt;"",C302&lt;&gt;0,E302&lt;&gt;""),(E302-C302)/C302*100,"")</f>
        <v/>
      </c>
    </row>
    <row r="303">
      <c r="F303">
        <f>IF(AND(C303&lt;&gt;"",E303&lt;&gt;""),E303-C303,"")</f>
        <v/>
      </c>
      <c r="G303">
        <f>IF(AND(C303&lt;&gt;"",C303&lt;&gt;0,E303&lt;&gt;""),(E303-C303)/C303*100,"")</f>
        <v/>
      </c>
    </row>
    <row r="304">
      <c r="F304">
        <f>IF(AND(C304&lt;&gt;"",E304&lt;&gt;""),E304-C304,"")</f>
        <v/>
      </c>
      <c r="G304">
        <f>IF(AND(C304&lt;&gt;"",C304&lt;&gt;0,E304&lt;&gt;""),(E304-C304)/C304*100,"")</f>
        <v/>
      </c>
    </row>
    <row r="305">
      <c r="F305">
        <f>IF(AND(C305&lt;&gt;"",E305&lt;&gt;""),E305-C305,"")</f>
        <v/>
      </c>
      <c r="G305">
        <f>IF(AND(C305&lt;&gt;"",C305&lt;&gt;0,E305&lt;&gt;""),(E305-C305)/C305*100,"")</f>
        <v/>
      </c>
    </row>
    <row r="306">
      <c r="F306">
        <f>IF(AND(C306&lt;&gt;"",E306&lt;&gt;""),E306-C306,"")</f>
        <v/>
      </c>
      <c r="G306">
        <f>IF(AND(C306&lt;&gt;"",C306&lt;&gt;0,E306&lt;&gt;""),(E306-C306)/C306*100,"")</f>
        <v/>
      </c>
    </row>
    <row r="307">
      <c r="F307">
        <f>IF(AND(C307&lt;&gt;"",E307&lt;&gt;""),E307-C307,"")</f>
        <v/>
      </c>
      <c r="G307">
        <f>IF(AND(C307&lt;&gt;"",C307&lt;&gt;0,E307&lt;&gt;""),(E307-C307)/C307*100,"")</f>
        <v/>
      </c>
    </row>
    <row r="308">
      <c r="F308">
        <f>IF(AND(C308&lt;&gt;"",E308&lt;&gt;""),E308-C308,"")</f>
        <v/>
      </c>
      <c r="G308">
        <f>IF(AND(C308&lt;&gt;"",C308&lt;&gt;0,E308&lt;&gt;""),(E308-C308)/C308*100,"")</f>
        <v/>
      </c>
    </row>
    <row r="309">
      <c r="F309">
        <f>IF(AND(C309&lt;&gt;"",E309&lt;&gt;""),E309-C309,"")</f>
        <v/>
      </c>
      <c r="G309">
        <f>IF(AND(C309&lt;&gt;"",C309&lt;&gt;0,E309&lt;&gt;""),(E309-C309)/C309*100,"")</f>
        <v/>
      </c>
    </row>
    <row r="310">
      <c r="F310">
        <f>IF(AND(C310&lt;&gt;"",E310&lt;&gt;""),E310-C310,"")</f>
        <v/>
      </c>
      <c r="G310">
        <f>IF(AND(C310&lt;&gt;"",C310&lt;&gt;0,E310&lt;&gt;""),(E310-C310)/C310*100,"")</f>
        <v/>
      </c>
    </row>
    <row r="311">
      <c r="F311">
        <f>IF(AND(C311&lt;&gt;"",E311&lt;&gt;""),E311-C311,"")</f>
        <v/>
      </c>
      <c r="G311">
        <f>IF(AND(C311&lt;&gt;"",C311&lt;&gt;0,E311&lt;&gt;""),(E311-C311)/C311*100,"")</f>
        <v/>
      </c>
    </row>
    <row r="312">
      <c r="F312">
        <f>IF(AND(C312&lt;&gt;"",E312&lt;&gt;""),E312-C312,"")</f>
        <v/>
      </c>
      <c r="G312">
        <f>IF(AND(C312&lt;&gt;"",C312&lt;&gt;0,E312&lt;&gt;""),(E312-C312)/C312*100,"")</f>
        <v/>
      </c>
    </row>
    <row r="313">
      <c r="F313">
        <f>IF(AND(C313&lt;&gt;"",E313&lt;&gt;""),E313-C313,"")</f>
        <v/>
      </c>
      <c r="G313">
        <f>IF(AND(C313&lt;&gt;"",C313&lt;&gt;0,E313&lt;&gt;""),(E313-C313)/C313*100,"")</f>
        <v/>
      </c>
    </row>
    <row r="314">
      <c r="F314">
        <f>IF(AND(C314&lt;&gt;"",E314&lt;&gt;""),E314-C314,"")</f>
        <v/>
      </c>
      <c r="G314">
        <f>IF(AND(C314&lt;&gt;"",C314&lt;&gt;0,E314&lt;&gt;""),(E314-C314)/C314*100,"")</f>
        <v/>
      </c>
    </row>
    <row r="315">
      <c r="F315">
        <f>IF(AND(C315&lt;&gt;"",E315&lt;&gt;""),E315-C315,"")</f>
        <v/>
      </c>
      <c r="G315">
        <f>IF(AND(C315&lt;&gt;"",C315&lt;&gt;0,E315&lt;&gt;""),(E315-C315)/C315*100,"")</f>
        <v/>
      </c>
    </row>
    <row r="316">
      <c r="F316">
        <f>IF(AND(C316&lt;&gt;"",E316&lt;&gt;""),E316-C316,"")</f>
        <v/>
      </c>
      <c r="G316">
        <f>IF(AND(C316&lt;&gt;"",C316&lt;&gt;0,E316&lt;&gt;""),(E316-C316)/C316*100,"")</f>
        <v/>
      </c>
    </row>
    <row r="317">
      <c r="F317">
        <f>IF(AND(C317&lt;&gt;"",E317&lt;&gt;""),E317-C317,"")</f>
        <v/>
      </c>
      <c r="G317">
        <f>IF(AND(C317&lt;&gt;"",C317&lt;&gt;0,E317&lt;&gt;""),(E317-C317)/C317*100,"")</f>
        <v/>
      </c>
    </row>
    <row r="318">
      <c r="F318">
        <f>IF(AND(C318&lt;&gt;"",E318&lt;&gt;""),E318-C318,"")</f>
        <v/>
      </c>
      <c r="G318">
        <f>IF(AND(C318&lt;&gt;"",C318&lt;&gt;0,E318&lt;&gt;""),(E318-C318)/C318*100,"")</f>
        <v/>
      </c>
    </row>
    <row r="319">
      <c r="F319">
        <f>IF(AND(C319&lt;&gt;"",E319&lt;&gt;""),E319-C319,"")</f>
        <v/>
      </c>
      <c r="G319">
        <f>IF(AND(C319&lt;&gt;"",C319&lt;&gt;0,E319&lt;&gt;""),(E319-C319)/C319*100,"")</f>
        <v/>
      </c>
    </row>
    <row r="320">
      <c r="F320">
        <f>IF(AND(C320&lt;&gt;"",E320&lt;&gt;""),E320-C320,"")</f>
        <v/>
      </c>
      <c r="G320">
        <f>IF(AND(C320&lt;&gt;"",C320&lt;&gt;0,E320&lt;&gt;""),(E320-C320)/C320*100,"")</f>
        <v/>
      </c>
    </row>
    <row r="321">
      <c r="F321">
        <f>IF(AND(C321&lt;&gt;"",E321&lt;&gt;""),E321-C321,"")</f>
        <v/>
      </c>
      <c r="G321">
        <f>IF(AND(C321&lt;&gt;"",C321&lt;&gt;0,E321&lt;&gt;""),(E321-C321)/C321*100,"")</f>
        <v/>
      </c>
    </row>
    <row r="322">
      <c r="F322">
        <f>IF(AND(C322&lt;&gt;"",E322&lt;&gt;""),E322-C322,"")</f>
        <v/>
      </c>
      <c r="G322">
        <f>IF(AND(C322&lt;&gt;"",C322&lt;&gt;0,E322&lt;&gt;""),(E322-C322)/C322*100,"")</f>
        <v/>
      </c>
    </row>
    <row r="323">
      <c r="F323">
        <f>IF(AND(C323&lt;&gt;"",E323&lt;&gt;""),E323-C323,"")</f>
        <v/>
      </c>
      <c r="G323">
        <f>IF(AND(C323&lt;&gt;"",C323&lt;&gt;0,E323&lt;&gt;""),(E323-C323)/C323*100,"")</f>
        <v/>
      </c>
    </row>
    <row r="324">
      <c r="F324">
        <f>IF(AND(C324&lt;&gt;"",E324&lt;&gt;""),E324-C324,"")</f>
        <v/>
      </c>
      <c r="G324">
        <f>IF(AND(C324&lt;&gt;"",C324&lt;&gt;0,E324&lt;&gt;""),(E324-C324)/C324*100,"")</f>
        <v/>
      </c>
    </row>
    <row r="325">
      <c r="F325">
        <f>IF(AND(C325&lt;&gt;"",E325&lt;&gt;""),E325-C325,"")</f>
        <v/>
      </c>
      <c r="G325">
        <f>IF(AND(C325&lt;&gt;"",C325&lt;&gt;0,E325&lt;&gt;""),(E325-C325)/C325*100,"")</f>
        <v/>
      </c>
    </row>
    <row r="326">
      <c r="F326">
        <f>IF(AND(C326&lt;&gt;"",E326&lt;&gt;""),E326-C326,"")</f>
        <v/>
      </c>
      <c r="G326">
        <f>IF(AND(C326&lt;&gt;"",C326&lt;&gt;0,E326&lt;&gt;""),(E326-C326)/C326*100,"")</f>
        <v/>
      </c>
    </row>
    <row r="327">
      <c r="F327">
        <f>IF(AND(C327&lt;&gt;"",E327&lt;&gt;""),E327-C327,"")</f>
        <v/>
      </c>
      <c r="G327">
        <f>IF(AND(C327&lt;&gt;"",C327&lt;&gt;0,E327&lt;&gt;""),(E327-C327)/C327*100,"")</f>
        <v/>
      </c>
    </row>
    <row r="328">
      <c r="F328">
        <f>IF(AND(C328&lt;&gt;"",E328&lt;&gt;""),E328-C328,"")</f>
        <v/>
      </c>
      <c r="G328">
        <f>IF(AND(C328&lt;&gt;"",C328&lt;&gt;0,E328&lt;&gt;""),(E328-C328)/C328*100,"")</f>
        <v/>
      </c>
    </row>
    <row r="329">
      <c r="F329">
        <f>IF(AND(C329&lt;&gt;"",E329&lt;&gt;""),E329-C329,"")</f>
        <v/>
      </c>
      <c r="G329">
        <f>IF(AND(C329&lt;&gt;"",C329&lt;&gt;0,E329&lt;&gt;""),(E329-C329)/C329*100,"")</f>
        <v/>
      </c>
    </row>
    <row r="330">
      <c r="F330">
        <f>IF(AND(C330&lt;&gt;"",E330&lt;&gt;""),E330-C330,"")</f>
        <v/>
      </c>
      <c r="G330">
        <f>IF(AND(C330&lt;&gt;"",C330&lt;&gt;0,E330&lt;&gt;""),(E330-C330)/C330*100,"")</f>
        <v/>
      </c>
    </row>
    <row r="331">
      <c r="F331">
        <f>IF(AND(C331&lt;&gt;"",E331&lt;&gt;""),E331-C331,"")</f>
        <v/>
      </c>
      <c r="G331">
        <f>IF(AND(C331&lt;&gt;"",C331&lt;&gt;0,E331&lt;&gt;""),(E331-C331)/C331*100,"")</f>
        <v/>
      </c>
    </row>
    <row r="332">
      <c r="F332">
        <f>IF(AND(C332&lt;&gt;"",E332&lt;&gt;""),E332-C332,"")</f>
        <v/>
      </c>
      <c r="G332">
        <f>IF(AND(C332&lt;&gt;"",C332&lt;&gt;0,E332&lt;&gt;""),(E332-C332)/C332*100,"")</f>
        <v/>
      </c>
    </row>
    <row r="333">
      <c r="F333">
        <f>IF(AND(C333&lt;&gt;"",E333&lt;&gt;""),E333-C333,"")</f>
        <v/>
      </c>
      <c r="G333">
        <f>IF(AND(C333&lt;&gt;"",C333&lt;&gt;0,E333&lt;&gt;""),(E333-C333)/C333*100,"")</f>
        <v/>
      </c>
    </row>
    <row r="334">
      <c r="F334">
        <f>IF(AND(C334&lt;&gt;"",E334&lt;&gt;""),E334-C334,"")</f>
        <v/>
      </c>
      <c r="G334">
        <f>IF(AND(C334&lt;&gt;"",C334&lt;&gt;0,E334&lt;&gt;""),(E334-C334)/C334*100,"")</f>
        <v/>
      </c>
    </row>
    <row r="335">
      <c r="F335">
        <f>IF(AND(C335&lt;&gt;"",E335&lt;&gt;""),E335-C335,"")</f>
        <v/>
      </c>
      <c r="G335">
        <f>IF(AND(C335&lt;&gt;"",C335&lt;&gt;0,E335&lt;&gt;""),(E335-C335)/C335*100,"")</f>
        <v/>
      </c>
    </row>
    <row r="336">
      <c r="F336">
        <f>IF(AND(C336&lt;&gt;"",E336&lt;&gt;""),E336-C336,"")</f>
        <v/>
      </c>
      <c r="G336">
        <f>IF(AND(C336&lt;&gt;"",C336&lt;&gt;0,E336&lt;&gt;""),(E336-C336)/C336*100,"")</f>
        <v/>
      </c>
    </row>
    <row r="337">
      <c r="F337">
        <f>IF(AND(C337&lt;&gt;"",E337&lt;&gt;""),E337-C337,"")</f>
        <v/>
      </c>
      <c r="G337">
        <f>IF(AND(C337&lt;&gt;"",C337&lt;&gt;0,E337&lt;&gt;""),(E337-C337)/C337*100,"")</f>
        <v/>
      </c>
    </row>
    <row r="338">
      <c r="F338">
        <f>IF(AND(C338&lt;&gt;"",E338&lt;&gt;""),E338-C338,"")</f>
        <v/>
      </c>
      <c r="G338">
        <f>IF(AND(C338&lt;&gt;"",C338&lt;&gt;0,E338&lt;&gt;""),(E338-C338)/C338*100,"")</f>
        <v/>
      </c>
    </row>
    <row r="339">
      <c r="F339">
        <f>IF(AND(C339&lt;&gt;"",E339&lt;&gt;""),E339-C339,"")</f>
        <v/>
      </c>
      <c r="G339">
        <f>IF(AND(C339&lt;&gt;"",C339&lt;&gt;0,E339&lt;&gt;""),(E339-C339)/C339*100,"")</f>
        <v/>
      </c>
    </row>
    <row r="340">
      <c r="F340">
        <f>IF(AND(C340&lt;&gt;"",E340&lt;&gt;""),E340-C340,"")</f>
        <v/>
      </c>
      <c r="G340">
        <f>IF(AND(C340&lt;&gt;"",C340&lt;&gt;0,E340&lt;&gt;""),(E340-C340)/C340*100,"")</f>
        <v/>
      </c>
    </row>
    <row r="341">
      <c r="F341">
        <f>IF(AND(C341&lt;&gt;"",E341&lt;&gt;""),E341-C341,"")</f>
        <v/>
      </c>
      <c r="G341">
        <f>IF(AND(C341&lt;&gt;"",C341&lt;&gt;0,E341&lt;&gt;""),(E341-C341)/C341*100,"")</f>
        <v/>
      </c>
    </row>
    <row r="342">
      <c r="F342">
        <f>IF(AND(C342&lt;&gt;"",E342&lt;&gt;""),E342-C342,"")</f>
        <v/>
      </c>
      <c r="G342">
        <f>IF(AND(C342&lt;&gt;"",C342&lt;&gt;0,E342&lt;&gt;""),(E342-C342)/C342*100,"")</f>
        <v/>
      </c>
    </row>
    <row r="343">
      <c r="F343">
        <f>IF(AND(C343&lt;&gt;"",E343&lt;&gt;""),E343-C343,"")</f>
        <v/>
      </c>
      <c r="G343">
        <f>IF(AND(C343&lt;&gt;"",C343&lt;&gt;0,E343&lt;&gt;""),(E343-C343)/C343*100,"")</f>
        <v/>
      </c>
    </row>
    <row r="344">
      <c r="F344">
        <f>IF(AND(C344&lt;&gt;"",E344&lt;&gt;""),E344-C344,"")</f>
        <v/>
      </c>
      <c r="G344">
        <f>IF(AND(C344&lt;&gt;"",C344&lt;&gt;0,E344&lt;&gt;""),(E344-C344)/C344*100,"")</f>
        <v/>
      </c>
    </row>
    <row r="345">
      <c r="F345">
        <f>IF(AND(C345&lt;&gt;"",E345&lt;&gt;""),E345-C345,"")</f>
        <v/>
      </c>
      <c r="G345">
        <f>IF(AND(C345&lt;&gt;"",C345&lt;&gt;0,E345&lt;&gt;""),(E345-C345)/C345*100,"")</f>
        <v/>
      </c>
    </row>
    <row r="346">
      <c r="F346">
        <f>IF(AND(C346&lt;&gt;"",E346&lt;&gt;""),E346-C346,"")</f>
        <v/>
      </c>
      <c r="G346">
        <f>IF(AND(C346&lt;&gt;"",C346&lt;&gt;0,E346&lt;&gt;""),(E346-C346)/C346*100,"")</f>
        <v/>
      </c>
    </row>
    <row r="347">
      <c r="F347">
        <f>IF(AND(C347&lt;&gt;"",E347&lt;&gt;""),E347-C347,"")</f>
        <v/>
      </c>
      <c r="G347">
        <f>IF(AND(C347&lt;&gt;"",C347&lt;&gt;0,E347&lt;&gt;""),(E347-C347)/C347*100,"")</f>
        <v/>
      </c>
    </row>
    <row r="348">
      <c r="F348">
        <f>IF(AND(C348&lt;&gt;"",E348&lt;&gt;""),E348-C348,"")</f>
        <v/>
      </c>
      <c r="G348">
        <f>IF(AND(C348&lt;&gt;"",C348&lt;&gt;0,E348&lt;&gt;""),(E348-C348)/C348*100,"")</f>
        <v/>
      </c>
    </row>
    <row r="349">
      <c r="F349">
        <f>IF(AND(C349&lt;&gt;"",E349&lt;&gt;""),E349-C349,"")</f>
        <v/>
      </c>
      <c r="G349">
        <f>IF(AND(C349&lt;&gt;"",C349&lt;&gt;0,E349&lt;&gt;""),(E349-C349)/C349*100,"")</f>
        <v/>
      </c>
    </row>
    <row r="350">
      <c r="F350">
        <f>IF(AND(C350&lt;&gt;"",E350&lt;&gt;""),E350-C350,"")</f>
        <v/>
      </c>
      <c r="G350">
        <f>IF(AND(C350&lt;&gt;"",C350&lt;&gt;0,E350&lt;&gt;""),(E350-C350)/C350*100,"")</f>
        <v/>
      </c>
    </row>
    <row r="351">
      <c r="F351">
        <f>IF(AND(C351&lt;&gt;"",E351&lt;&gt;""),E351-C351,"")</f>
        <v/>
      </c>
      <c r="G351">
        <f>IF(AND(C351&lt;&gt;"",C351&lt;&gt;0,E351&lt;&gt;""),(E351-C351)/C351*100,"")</f>
        <v/>
      </c>
    </row>
    <row r="352">
      <c r="F352">
        <f>IF(AND(C352&lt;&gt;"",E352&lt;&gt;""),E352-C352,"")</f>
        <v/>
      </c>
      <c r="G352">
        <f>IF(AND(C352&lt;&gt;"",C352&lt;&gt;0,E352&lt;&gt;""),(E352-C352)/C352*100,"")</f>
        <v/>
      </c>
    </row>
    <row r="353">
      <c r="F353">
        <f>IF(AND(C353&lt;&gt;"",E353&lt;&gt;""),E353-C353,"")</f>
        <v/>
      </c>
      <c r="G353">
        <f>IF(AND(C353&lt;&gt;"",C353&lt;&gt;0,E353&lt;&gt;""),(E353-C353)/C353*100,"")</f>
        <v/>
      </c>
    </row>
    <row r="354">
      <c r="F354">
        <f>IF(AND(C354&lt;&gt;"",E354&lt;&gt;""),E354-C354,"")</f>
        <v/>
      </c>
      <c r="G354">
        <f>IF(AND(C354&lt;&gt;"",C354&lt;&gt;0,E354&lt;&gt;""),(E354-C354)/C354*100,"")</f>
        <v/>
      </c>
    </row>
    <row r="355">
      <c r="F355">
        <f>IF(AND(C355&lt;&gt;"",E355&lt;&gt;""),E355-C355,"")</f>
        <v/>
      </c>
      <c r="G355">
        <f>IF(AND(C355&lt;&gt;"",C355&lt;&gt;0,E355&lt;&gt;""),(E355-C355)/C355*100,"")</f>
        <v/>
      </c>
    </row>
    <row r="356">
      <c r="F356">
        <f>IF(AND(C356&lt;&gt;"",E356&lt;&gt;""),E356-C356,"")</f>
        <v/>
      </c>
      <c r="G356">
        <f>IF(AND(C356&lt;&gt;"",C356&lt;&gt;0,E356&lt;&gt;""),(E356-C356)/C356*100,"")</f>
        <v/>
      </c>
    </row>
    <row r="357">
      <c r="F357">
        <f>IF(AND(C357&lt;&gt;"",E357&lt;&gt;""),E357-C357,"")</f>
        <v/>
      </c>
      <c r="G357">
        <f>IF(AND(C357&lt;&gt;"",C357&lt;&gt;0,E357&lt;&gt;""),(E357-C357)/C357*100,"")</f>
        <v/>
      </c>
    </row>
    <row r="358">
      <c r="F358">
        <f>IF(AND(C358&lt;&gt;"",E358&lt;&gt;""),E358-C358,"")</f>
        <v/>
      </c>
      <c r="G358">
        <f>IF(AND(C358&lt;&gt;"",C358&lt;&gt;0,E358&lt;&gt;""),(E358-C358)/C358*100,"")</f>
        <v/>
      </c>
    </row>
    <row r="359">
      <c r="F359">
        <f>IF(AND(C359&lt;&gt;"",E359&lt;&gt;""),E359-C359,"")</f>
        <v/>
      </c>
      <c r="G359">
        <f>IF(AND(C359&lt;&gt;"",C359&lt;&gt;0,E359&lt;&gt;""),(E359-C359)/C359*100,"")</f>
        <v/>
      </c>
    </row>
    <row r="360">
      <c r="F360">
        <f>IF(AND(C360&lt;&gt;"",E360&lt;&gt;""),E360-C360,"")</f>
        <v/>
      </c>
      <c r="G360">
        <f>IF(AND(C360&lt;&gt;"",C360&lt;&gt;0,E360&lt;&gt;""),(E360-C360)/C360*100,"")</f>
        <v/>
      </c>
    </row>
    <row r="361">
      <c r="F361">
        <f>IF(AND(C361&lt;&gt;"",E361&lt;&gt;""),E361-C361,"")</f>
        <v/>
      </c>
      <c r="G361">
        <f>IF(AND(C361&lt;&gt;"",C361&lt;&gt;0,E361&lt;&gt;""),(E361-C361)/C361*100,"")</f>
        <v/>
      </c>
    </row>
    <row r="362">
      <c r="F362">
        <f>IF(AND(C362&lt;&gt;"",E362&lt;&gt;""),E362-C362,"")</f>
        <v/>
      </c>
      <c r="G362">
        <f>IF(AND(C362&lt;&gt;"",C362&lt;&gt;0,E362&lt;&gt;""),(E362-C362)/C362*100,"")</f>
        <v/>
      </c>
    </row>
    <row r="363">
      <c r="F363">
        <f>IF(AND(C363&lt;&gt;"",E363&lt;&gt;""),E363-C363,"")</f>
        <v/>
      </c>
      <c r="G363">
        <f>IF(AND(C363&lt;&gt;"",C363&lt;&gt;0,E363&lt;&gt;""),(E363-C363)/C363*100,"")</f>
        <v/>
      </c>
    </row>
    <row r="364">
      <c r="F364">
        <f>IF(AND(C364&lt;&gt;"",E364&lt;&gt;""),E364-C364,"")</f>
        <v/>
      </c>
      <c r="G364">
        <f>IF(AND(C364&lt;&gt;"",C364&lt;&gt;0,E364&lt;&gt;""),(E364-C364)/C364*100,"")</f>
        <v/>
      </c>
    </row>
    <row r="365">
      <c r="F365">
        <f>IF(AND(C365&lt;&gt;"",E365&lt;&gt;""),E365-C365,"")</f>
        <v/>
      </c>
      <c r="G365">
        <f>IF(AND(C365&lt;&gt;"",C365&lt;&gt;0,E365&lt;&gt;""),(E365-C365)/C365*100,"")</f>
        <v/>
      </c>
    </row>
    <row r="366">
      <c r="F366">
        <f>IF(AND(C366&lt;&gt;"",E366&lt;&gt;""),E366-C366,"")</f>
        <v/>
      </c>
      <c r="G366">
        <f>IF(AND(C366&lt;&gt;"",C366&lt;&gt;0,E366&lt;&gt;""),(E366-C366)/C366*100,"")</f>
        <v/>
      </c>
    </row>
    <row r="367">
      <c r="F367">
        <f>IF(AND(C367&lt;&gt;"",E367&lt;&gt;""),E367-C367,"")</f>
        <v/>
      </c>
      <c r="G367">
        <f>IF(AND(C367&lt;&gt;"",C367&lt;&gt;0,E367&lt;&gt;""),(E367-C367)/C367*100,"")</f>
        <v/>
      </c>
    </row>
    <row r="368">
      <c r="F368">
        <f>IF(AND(C368&lt;&gt;"",E368&lt;&gt;""),E368-C368,"")</f>
        <v/>
      </c>
      <c r="G368">
        <f>IF(AND(C368&lt;&gt;"",C368&lt;&gt;0,E368&lt;&gt;""),(E368-C368)/C368*100,"")</f>
        <v/>
      </c>
    </row>
    <row r="369">
      <c r="F369">
        <f>IF(AND(C369&lt;&gt;"",E369&lt;&gt;""),E369-C369,"")</f>
        <v/>
      </c>
      <c r="G369">
        <f>IF(AND(C369&lt;&gt;"",C369&lt;&gt;0,E369&lt;&gt;""),(E369-C369)/C369*100,"")</f>
        <v/>
      </c>
    </row>
    <row r="370">
      <c r="F370">
        <f>IF(AND(C370&lt;&gt;"",E370&lt;&gt;""),E370-C370,"")</f>
        <v/>
      </c>
      <c r="G370">
        <f>IF(AND(C370&lt;&gt;"",C370&lt;&gt;0,E370&lt;&gt;""),(E370-C370)/C370*100,"")</f>
        <v/>
      </c>
    </row>
    <row r="371">
      <c r="F371">
        <f>IF(AND(C371&lt;&gt;"",E371&lt;&gt;""),E371-C371,"")</f>
        <v/>
      </c>
      <c r="G371">
        <f>IF(AND(C371&lt;&gt;"",C371&lt;&gt;0,E371&lt;&gt;""),(E371-C371)/C371*100,"")</f>
        <v/>
      </c>
    </row>
    <row r="372">
      <c r="F372">
        <f>IF(AND(C372&lt;&gt;"",E372&lt;&gt;""),E372-C372,"")</f>
        <v/>
      </c>
      <c r="G372">
        <f>IF(AND(C372&lt;&gt;"",C372&lt;&gt;0,E372&lt;&gt;""),(E372-C372)/C372*100,"")</f>
        <v/>
      </c>
    </row>
    <row r="373">
      <c r="F373">
        <f>IF(AND(C373&lt;&gt;"",E373&lt;&gt;""),E373-C373,"")</f>
        <v/>
      </c>
      <c r="G373">
        <f>IF(AND(C373&lt;&gt;"",C373&lt;&gt;0,E373&lt;&gt;""),(E373-C373)/C373*100,"")</f>
        <v/>
      </c>
    </row>
    <row r="374">
      <c r="F374">
        <f>IF(AND(C374&lt;&gt;"",E374&lt;&gt;""),E374-C374,"")</f>
        <v/>
      </c>
      <c r="G374">
        <f>IF(AND(C374&lt;&gt;"",C374&lt;&gt;0,E374&lt;&gt;""),(E374-C374)/C374*100,"")</f>
        <v/>
      </c>
    </row>
    <row r="375">
      <c r="F375">
        <f>IF(AND(C375&lt;&gt;"",E375&lt;&gt;""),E375-C375,"")</f>
        <v/>
      </c>
      <c r="G375">
        <f>IF(AND(C375&lt;&gt;"",C375&lt;&gt;0,E375&lt;&gt;""),(E375-C375)/C375*100,"")</f>
        <v/>
      </c>
    </row>
    <row r="376">
      <c r="F376">
        <f>IF(AND(C376&lt;&gt;"",E376&lt;&gt;""),E376-C376,"")</f>
        <v/>
      </c>
      <c r="G376">
        <f>IF(AND(C376&lt;&gt;"",C376&lt;&gt;0,E376&lt;&gt;""),(E376-C376)/C376*100,"")</f>
        <v/>
      </c>
    </row>
    <row r="377">
      <c r="F377">
        <f>IF(AND(C377&lt;&gt;"",E377&lt;&gt;""),E377-C377,"")</f>
        <v/>
      </c>
      <c r="G377">
        <f>IF(AND(C377&lt;&gt;"",C377&lt;&gt;0,E377&lt;&gt;""),(E377-C377)/C377*100,"")</f>
        <v/>
      </c>
    </row>
    <row r="378">
      <c r="F378">
        <f>IF(AND(C378&lt;&gt;"",E378&lt;&gt;""),E378-C378,"")</f>
        <v/>
      </c>
      <c r="G378">
        <f>IF(AND(C378&lt;&gt;"",C378&lt;&gt;0,E378&lt;&gt;""),(E378-C378)/C378*100,"")</f>
        <v/>
      </c>
    </row>
    <row r="379">
      <c r="F379">
        <f>IF(AND(C379&lt;&gt;"",E379&lt;&gt;""),E379-C379,"")</f>
        <v/>
      </c>
      <c r="G379">
        <f>IF(AND(C379&lt;&gt;"",C379&lt;&gt;0,E379&lt;&gt;""),(E379-C379)/C379*100,"")</f>
        <v/>
      </c>
    </row>
    <row r="380">
      <c r="F380">
        <f>IF(AND(C380&lt;&gt;"",E380&lt;&gt;""),E380-C380,"")</f>
        <v/>
      </c>
      <c r="G380">
        <f>IF(AND(C380&lt;&gt;"",C380&lt;&gt;0,E380&lt;&gt;""),(E380-C380)/C380*100,"")</f>
        <v/>
      </c>
    </row>
    <row r="381">
      <c r="F381">
        <f>IF(AND(C381&lt;&gt;"",E381&lt;&gt;""),E381-C381,"")</f>
        <v/>
      </c>
      <c r="G381">
        <f>IF(AND(C381&lt;&gt;"",C381&lt;&gt;0,E381&lt;&gt;""),(E381-C381)/C381*100,"")</f>
        <v/>
      </c>
    </row>
    <row r="382">
      <c r="F382">
        <f>IF(AND(C382&lt;&gt;"",E382&lt;&gt;""),E382-C382,"")</f>
        <v/>
      </c>
      <c r="G382">
        <f>IF(AND(C382&lt;&gt;"",C382&lt;&gt;0,E382&lt;&gt;""),(E382-C382)/C382*100,"")</f>
        <v/>
      </c>
    </row>
    <row r="383">
      <c r="F383">
        <f>IF(AND(C383&lt;&gt;"",E383&lt;&gt;""),E383-C383,"")</f>
        <v/>
      </c>
      <c r="G383">
        <f>IF(AND(C383&lt;&gt;"",C383&lt;&gt;0,E383&lt;&gt;""),(E383-C383)/C383*100,"")</f>
        <v/>
      </c>
    </row>
    <row r="384">
      <c r="F384">
        <f>IF(AND(C384&lt;&gt;"",E384&lt;&gt;""),E384-C384,"")</f>
        <v/>
      </c>
      <c r="G384">
        <f>IF(AND(C384&lt;&gt;"",C384&lt;&gt;0,E384&lt;&gt;""),(E384-C384)/C384*100,"")</f>
        <v/>
      </c>
    </row>
    <row r="385">
      <c r="F385">
        <f>IF(AND(C385&lt;&gt;"",E385&lt;&gt;""),E385-C385,"")</f>
        <v/>
      </c>
      <c r="G385">
        <f>IF(AND(C385&lt;&gt;"",C385&lt;&gt;0,E385&lt;&gt;""),(E385-C385)/C385*100,"")</f>
        <v/>
      </c>
    </row>
    <row r="386">
      <c r="F386">
        <f>IF(AND(C386&lt;&gt;"",E386&lt;&gt;""),E386-C386,"")</f>
        <v/>
      </c>
      <c r="G386">
        <f>IF(AND(C386&lt;&gt;"",C386&lt;&gt;0,E386&lt;&gt;""),(E386-C386)/C386*100,"")</f>
        <v/>
      </c>
    </row>
    <row r="387">
      <c r="F387">
        <f>IF(AND(C387&lt;&gt;"",E387&lt;&gt;""),E387-C387,"")</f>
        <v/>
      </c>
      <c r="G387">
        <f>IF(AND(C387&lt;&gt;"",C387&lt;&gt;0,E387&lt;&gt;""),(E387-C387)/C387*100,"")</f>
        <v/>
      </c>
    </row>
    <row r="388">
      <c r="F388">
        <f>IF(AND(C388&lt;&gt;"",E388&lt;&gt;""),E388-C388,"")</f>
        <v/>
      </c>
      <c r="G388">
        <f>IF(AND(C388&lt;&gt;"",C388&lt;&gt;0,E388&lt;&gt;""),(E388-C388)/C388*100,"")</f>
        <v/>
      </c>
    </row>
    <row r="389">
      <c r="F389">
        <f>IF(AND(C389&lt;&gt;"",E389&lt;&gt;""),E389-C389,"")</f>
        <v/>
      </c>
      <c r="G389">
        <f>IF(AND(C389&lt;&gt;"",C389&lt;&gt;0,E389&lt;&gt;""),(E389-C389)/C389*100,"")</f>
        <v/>
      </c>
    </row>
    <row r="390">
      <c r="F390">
        <f>IF(AND(C390&lt;&gt;"",E390&lt;&gt;""),E390-C390,"")</f>
        <v/>
      </c>
      <c r="G390">
        <f>IF(AND(C390&lt;&gt;"",C390&lt;&gt;0,E390&lt;&gt;""),(E390-C390)/C390*100,"")</f>
        <v/>
      </c>
    </row>
    <row r="391">
      <c r="F391">
        <f>IF(AND(C391&lt;&gt;"",E391&lt;&gt;""),E391-C391,"")</f>
        <v/>
      </c>
      <c r="G391">
        <f>IF(AND(C391&lt;&gt;"",C391&lt;&gt;0,E391&lt;&gt;""),(E391-C391)/C391*100,"")</f>
        <v/>
      </c>
    </row>
    <row r="392">
      <c r="F392">
        <f>IF(AND(C392&lt;&gt;"",E392&lt;&gt;""),E392-C392,"")</f>
        <v/>
      </c>
      <c r="G392">
        <f>IF(AND(C392&lt;&gt;"",C392&lt;&gt;0,E392&lt;&gt;""),(E392-C392)/C392*100,"")</f>
        <v/>
      </c>
    </row>
    <row r="393">
      <c r="F393">
        <f>IF(AND(C393&lt;&gt;"",E393&lt;&gt;""),E393-C393,"")</f>
        <v/>
      </c>
      <c r="G393">
        <f>IF(AND(C393&lt;&gt;"",C393&lt;&gt;0,E393&lt;&gt;""),(E393-C393)/C393*100,"")</f>
        <v/>
      </c>
    </row>
    <row r="394">
      <c r="F394">
        <f>IF(AND(C394&lt;&gt;"",E394&lt;&gt;""),E394-C394,"")</f>
        <v/>
      </c>
      <c r="G394">
        <f>IF(AND(C394&lt;&gt;"",C394&lt;&gt;0,E394&lt;&gt;""),(E394-C394)/C394*100,"")</f>
        <v/>
      </c>
    </row>
    <row r="395">
      <c r="F395">
        <f>IF(AND(C395&lt;&gt;"",E395&lt;&gt;""),E395-C395,"")</f>
        <v/>
      </c>
      <c r="G395">
        <f>IF(AND(C395&lt;&gt;"",C395&lt;&gt;0,E395&lt;&gt;""),(E395-C395)/C395*100,"")</f>
        <v/>
      </c>
    </row>
    <row r="396">
      <c r="F396">
        <f>IF(AND(C396&lt;&gt;"",E396&lt;&gt;""),E396-C396,"")</f>
        <v/>
      </c>
      <c r="G396">
        <f>IF(AND(C396&lt;&gt;"",C396&lt;&gt;0,E396&lt;&gt;""),(E396-C396)/C396*100,"")</f>
        <v/>
      </c>
    </row>
    <row r="397">
      <c r="F397">
        <f>IF(AND(C397&lt;&gt;"",E397&lt;&gt;""),E397-C397,"")</f>
        <v/>
      </c>
      <c r="G397">
        <f>IF(AND(C397&lt;&gt;"",C397&lt;&gt;0,E397&lt;&gt;""),(E397-C397)/C397*100,"")</f>
        <v/>
      </c>
    </row>
    <row r="398">
      <c r="F398">
        <f>IF(AND(C398&lt;&gt;"",E398&lt;&gt;""),E398-C398,"")</f>
        <v/>
      </c>
      <c r="G398">
        <f>IF(AND(C398&lt;&gt;"",C398&lt;&gt;0,E398&lt;&gt;""),(E398-C398)/C398*100,"")</f>
        <v/>
      </c>
    </row>
    <row r="399">
      <c r="F399">
        <f>IF(AND(C399&lt;&gt;"",E399&lt;&gt;""),E399-C399,"")</f>
        <v/>
      </c>
      <c r="G399">
        <f>IF(AND(C399&lt;&gt;"",C399&lt;&gt;0,E399&lt;&gt;""),(E399-C399)/C399*100,"")</f>
        <v/>
      </c>
    </row>
    <row r="400">
      <c r="F400">
        <f>IF(AND(C400&lt;&gt;"",E400&lt;&gt;""),E400-C400,"")</f>
        <v/>
      </c>
      <c r="G400">
        <f>IF(AND(C400&lt;&gt;"",C400&lt;&gt;0,E400&lt;&gt;""),(E400-C400)/C400*100,"")</f>
        <v/>
      </c>
    </row>
    <row r="401">
      <c r="F401">
        <f>IF(AND(C401&lt;&gt;"",E401&lt;&gt;""),E401-C401,"")</f>
        <v/>
      </c>
      <c r="G401">
        <f>IF(AND(C401&lt;&gt;"",C401&lt;&gt;0,E401&lt;&gt;""),(E401-C401)/C401*100,"")</f>
        <v/>
      </c>
    </row>
    <row r="402">
      <c r="F402">
        <f>IF(AND(C402&lt;&gt;"",E402&lt;&gt;""),E402-C402,"")</f>
        <v/>
      </c>
      <c r="G402">
        <f>IF(AND(C402&lt;&gt;"",C402&lt;&gt;0,E402&lt;&gt;""),(E402-C402)/C402*100,"")</f>
        <v/>
      </c>
    </row>
    <row r="403">
      <c r="F403">
        <f>IF(AND(C403&lt;&gt;"",E403&lt;&gt;""),E403-C403,"")</f>
        <v/>
      </c>
      <c r="G403">
        <f>IF(AND(C403&lt;&gt;"",C403&lt;&gt;0,E403&lt;&gt;""),(E403-C403)/C403*100,"")</f>
        <v/>
      </c>
    </row>
    <row r="404">
      <c r="F404">
        <f>IF(AND(C404&lt;&gt;"",E404&lt;&gt;""),E404-C404,"")</f>
        <v/>
      </c>
      <c r="G404">
        <f>IF(AND(C404&lt;&gt;"",C404&lt;&gt;0,E404&lt;&gt;""),(E404-C404)/C404*100,"")</f>
        <v/>
      </c>
    </row>
    <row r="405">
      <c r="F405">
        <f>IF(AND(C405&lt;&gt;"",E405&lt;&gt;""),E405-C405,"")</f>
        <v/>
      </c>
      <c r="G405">
        <f>IF(AND(C405&lt;&gt;"",C405&lt;&gt;0,E405&lt;&gt;""),(E405-C405)/C405*100,"")</f>
        <v/>
      </c>
    </row>
    <row r="406">
      <c r="F406">
        <f>IF(AND(C406&lt;&gt;"",E406&lt;&gt;""),E406-C406,"")</f>
        <v/>
      </c>
      <c r="G406">
        <f>IF(AND(C406&lt;&gt;"",C406&lt;&gt;0,E406&lt;&gt;""),(E406-C406)/C406*100,"")</f>
        <v/>
      </c>
    </row>
    <row r="407">
      <c r="F407">
        <f>IF(AND(C407&lt;&gt;"",E407&lt;&gt;""),E407-C407,"")</f>
        <v/>
      </c>
      <c r="G407">
        <f>IF(AND(C407&lt;&gt;"",C407&lt;&gt;0,E407&lt;&gt;""),(E407-C407)/C407*100,"")</f>
        <v/>
      </c>
    </row>
    <row r="408">
      <c r="F408">
        <f>IF(AND(C408&lt;&gt;"",E408&lt;&gt;""),E408-C408,"")</f>
        <v/>
      </c>
      <c r="G408">
        <f>IF(AND(C408&lt;&gt;"",C408&lt;&gt;0,E408&lt;&gt;""),(E408-C408)/C408*100,"")</f>
        <v/>
      </c>
    </row>
    <row r="409">
      <c r="F409">
        <f>IF(AND(C409&lt;&gt;"",E409&lt;&gt;""),E409-C409,"")</f>
        <v/>
      </c>
      <c r="G409">
        <f>IF(AND(C409&lt;&gt;"",C409&lt;&gt;0,E409&lt;&gt;""),(E409-C409)/C409*100,"")</f>
        <v/>
      </c>
    </row>
    <row r="410">
      <c r="F410">
        <f>IF(AND(C410&lt;&gt;"",E410&lt;&gt;""),E410-C410,"")</f>
        <v/>
      </c>
      <c r="G410">
        <f>IF(AND(C410&lt;&gt;"",C410&lt;&gt;0,E410&lt;&gt;""),(E410-C410)/C410*100,"")</f>
        <v/>
      </c>
    </row>
    <row r="411">
      <c r="F411">
        <f>IF(AND(C411&lt;&gt;"",E411&lt;&gt;""),E411-C411,"")</f>
        <v/>
      </c>
      <c r="G411">
        <f>IF(AND(C411&lt;&gt;"",C411&lt;&gt;0,E411&lt;&gt;""),(E411-C411)/C411*100,"")</f>
        <v/>
      </c>
    </row>
    <row r="412">
      <c r="F412">
        <f>IF(AND(C412&lt;&gt;"",E412&lt;&gt;""),E412-C412,"")</f>
        <v/>
      </c>
      <c r="G412">
        <f>IF(AND(C412&lt;&gt;"",C412&lt;&gt;0,E412&lt;&gt;""),(E412-C412)/C412*100,"")</f>
        <v/>
      </c>
    </row>
    <row r="413">
      <c r="F413">
        <f>IF(AND(C413&lt;&gt;"",E413&lt;&gt;""),E413-C413,"")</f>
        <v/>
      </c>
      <c r="G413">
        <f>IF(AND(C413&lt;&gt;"",C413&lt;&gt;0,E413&lt;&gt;""),(E413-C413)/C413*100,"")</f>
        <v/>
      </c>
    </row>
    <row r="414">
      <c r="F414">
        <f>IF(AND(C414&lt;&gt;"",E414&lt;&gt;""),E414-C414,"")</f>
        <v/>
      </c>
      <c r="G414">
        <f>IF(AND(C414&lt;&gt;"",C414&lt;&gt;0,E414&lt;&gt;""),(E414-C414)/C414*100,"")</f>
        <v/>
      </c>
    </row>
    <row r="415">
      <c r="F415">
        <f>IF(AND(C415&lt;&gt;"",E415&lt;&gt;""),E415-C415,"")</f>
        <v/>
      </c>
      <c r="G415">
        <f>IF(AND(C415&lt;&gt;"",C415&lt;&gt;0,E415&lt;&gt;""),(E415-C415)/C415*100,"")</f>
        <v/>
      </c>
    </row>
    <row r="416">
      <c r="F416">
        <f>IF(AND(C416&lt;&gt;"",E416&lt;&gt;""),E416-C416,"")</f>
        <v/>
      </c>
      <c r="G416">
        <f>IF(AND(C416&lt;&gt;"",C416&lt;&gt;0,E416&lt;&gt;""),(E416-C416)/C416*100,"")</f>
        <v/>
      </c>
    </row>
    <row r="417">
      <c r="F417">
        <f>IF(AND(C417&lt;&gt;"",E417&lt;&gt;""),E417-C417,"")</f>
        <v/>
      </c>
      <c r="G417">
        <f>IF(AND(C417&lt;&gt;"",C417&lt;&gt;0,E417&lt;&gt;""),(E417-C417)/C417*100,"")</f>
        <v/>
      </c>
    </row>
    <row r="418">
      <c r="F418">
        <f>IF(AND(C418&lt;&gt;"",E418&lt;&gt;""),E418-C418,"")</f>
        <v/>
      </c>
      <c r="G418">
        <f>IF(AND(C418&lt;&gt;"",C418&lt;&gt;0,E418&lt;&gt;""),(E418-C418)/C418*100,"")</f>
        <v/>
      </c>
    </row>
    <row r="419">
      <c r="F419">
        <f>IF(AND(C419&lt;&gt;"",E419&lt;&gt;""),E419-C419,"")</f>
        <v/>
      </c>
      <c r="G419">
        <f>IF(AND(C419&lt;&gt;"",C419&lt;&gt;0,E419&lt;&gt;""),(E419-C419)/C419*100,"")</f>
        <v/>
      </c>
    </row>
    <row r="420">
      <c r="F420">
        <f>IF(AND(C420&lt;&gt;"",E420&lt;&gt;""),E420-C420,"")</f>
        <v/>
      </c>
      <c r="G420">
        <f>IF(AND(C420&lt;&gt;"",C420&lt;&gt;0,E420&lt;&gt;""),(E420-C420)/C420*100,"")</f>
        <v/>
      </c>
    </row>
    <row r="421">
      <c r="F421">
        <f>IF(AND(C421&lt;&gt;"",E421&lt;&gt;""),E421-C421,"")</f>
        <v/>
      </c>
      <c r="G421">
        <f>IF(AND(C421&lt;&gt;"",C421&lt;&gt;0,E421&lt;&gt;""),(E421-C421)/C421*100,"")</f>
        <v/>
      </c>
    </row>
    <row r="422">
      <c r="F422">
        <f>IF(AND(C422&lt;&gt;"",E422&lt;&gt;""),E422-C422,"")</f>
        <v/>
      </c>
      <c r="G422">
        <f>IF(AND(C422&lt;&gt;"",C422&lt;&gt;0,E422&lt;&gt;""),(E422-C422)/C422*100,"")</f>
        <v/>
      </c>
    </row>
    <row r="423">
      <c r="F423">
        <f>IF(AND(C423&lt;&gt;"",E423&lt;&gt;""),E423-C423,"")</f>
        <v/>
      </c>
      <c r="G423">
        <f>IF(AND(C423&lt;&gt;"",C423&lt;&gt;0,E423&lt;&gt;""),(E423-C423)/C423*100,"")</f>
        <v/>
      </c>
    </row>
    <row r="424">
      <c r="F424">
        <f>IF(AND(C424&lt;&gt;"",E424&lt;&gt;""),E424-C424,"")</f>
        <v/>
      </c>
      <c r="G424">
        <f>IF(AND(C424&lt;&gt;"",C424&lt;&gt;0,E424&lt;&gt;""),(E424-C424)/C424*100,"")</f>
        <v/>
      </c>
    </row>
    <row r="425">
      <c r="F425">
        <f>IF(AND(C425&lt;&gt;"",E425&lt;&gt;""),E425-C425,"")</f>
        <v/>
      </c>
      <c r="G425">
        <f>IF(AND(C425&lt;&gt;"",C425&lt;&gt;0,E425&lt;&gt;""),(E425-C425)/C425*100,"")</f>
        <v/>
      </c>
    </row>
    <row r="426">
      <c r="F426">
        <f>IF(AND(C426&lt;&gt;"",E426&lt;&gt;""),E426-C426,"")</f>
        <v/>
      </c>
      <c r="G426">
        <f>IF(AND(C426&lt;&gt;"",C426&lt;&gt;0,E426&lt;&gt;""),(E426-C426)/C426*100,"")</f>
        <v/>
      </c>
    </row>
    <row r="427">
      <c r="F427">
        <f>IF(AND(C427&lt;&gt;"",E427&lt;&gt;""),E427-C427,"")</f>
        <v/>
      </c>
      <c r="G427">
        <f>IF(AND(C427&lt;&gt;"",C427&lt;&gt;0,E427&lt;&gt;""),(E427-C427)/C427*100,"")</f>
        <v/>
      </c>
    </row>
    <row r="428">
      <c r="F428">
        <f>IF(AND(C428&lt;&gt;"",E428&lt;&gt;""),E428-C428,"")</f>
        <v/>
      </c>
      <c r="G428">
        <f>IF(AND(C428&lt;&gt;"",C428&lt;&gt;0,E428&lt;&gt;""),(E428-C428)/C428*100,"")</f>
        <v/>
      </c>
    </row>
    <row r="429">
      <c r="F429">
        <f>IF(AND(C429&lt;&gt;"",E429&lt;&gt;""),E429-C429,"")</f>
        <v/>
      </c>
      <c r="G429">
        <f>IF(AND(C429&lt;&gt;"",C429&lt;&gt;0,E429&lt;&gt;""),(E429-C429)/C429*100,"")</f>
        <v/>
      </c>
    </row>
    <row r="430">
      <c r="F430">
        <f>IF(AND(C430&lt;&gt;"",E430&lt;&gt;""),E430-C430,"")</f>
        <v/>
      </c>
      <c r="G430">
        <f>IF(AND(C430&lt;&gt;"",C430&lt;&gt;0,E430&lt;&gt;""),(E430-C430)/C430*100,"")</f>
        <v/>
      </c>
    </row>
    <row r="431">
      <c r="F431">
        <f>IF(AND(C431&lt;&gt;"",E431&lt;&gt;""),E431-C431,"")</f>
        <v/>
      </c>
      <c r="G431">
        <f>IF(AND(C431&lt;&gt;"",C431&lt;&gt;0,E431&lt;&gt;""),(E431-C431)/C431*100,"")</f>
        <v/>
      </c>
    </row>
    <row r="432">
      <c r="F432">
        <f>IF(AND(C432&lt;&gt;"",E432&lt;&gt;""),E432-C432,"")</f>
        <v/>
      </c>
      <c r="G432">
        <f>IF(AND(C432&lt;&gt;"",C432&lt;&gt;0,E432&lt;&gt;""),(E432-C432)/C432*100,"")</f>
        <v/>
      </c>
    </row>
    <row r="433">
      <c r="F433">
        <f>IF(AND(C433&lt;&gt;"",E433&lt;&gt;""),E433-C433,"")</f>
        <v/>
      </c>
      <c r="G433">
        <f>IF(AND(C433&lt;&gt;"",C433&lt;&gt;0,E433&lt;&gt;""),(E433-C433)/C433*100,"")</f>
        <v/>
      </c>
    </row>
    <row r="434">
      <c r="F434">
        <f>IF(AND(C434&lt;&gt;"",E434&lt;&gt;""),E434-C434,"")</f>
        <v/>
      </c>
      <c r="G434">
        <f>IF(AND(C434&lt;&gt;"",C434&lt;&gt;0,E434&lt;&gt;""),(E434-C434)/C434*100,"")</f>
        <v/>
      </c>
    </row>
    <row r="435">
      <c r="F435">
        <f>IF(AND(C435&lt;&gt;"",E435&lt;&gt;""),E435-C435,"")</f>
        <v/>
      </c>
      <c r="G435">
        <f>IF(AND(C435&lt;&gt;"",C435&lt;&gt;0,E435&lt;&gt;""),(E435-C435)/C435*100,"")</f>
        <v/>
      </c>
    </row>
    <row r="436">
      <c r="F436">
        <f>IF(AND(C436&lt;&gt;"",E436&lt;&gt;""),E436-C436,"")</f>
        <v/>
      </c>
      <c r="G436">
        <f>IF(AND(C436&lt;&gt;"",C436&lt;&gt;0,E436&lt;&gt;""),(E436-C436)/C436*100,"")</f>
        <v/>
      </c>
    </row>
    <row r="437">
      <c r="F437">
        <f>IF(AND(C437&lt;&gt;"",E437&lt;&gt;""),E437-C437,"")</f>
        <v/>
      </c>
      <c r="G437">
        <f>IF(AND(C437&lt;&gt;"",C437&lt;&gt;0,E437&lt;&gt;""),(E437-C437)/C437*100,"")</f>
        <v/>
      </c>
    </row>
    <row r="438">
      <c r="F438">
        <f>IF(AND(C438&lt;&gt;"",E438&lt;&gt;""),E438-C438,"")</f>
        <v/>
      </c>
      <c r="G438">
        <f>IF(AND(C438&lt;&gt;"",C438&lt;&gt;0,E438&lt;&gt;""),(E438-C438)/C438*100,"")</f>
        <v/>
      </c>
    </row>
    <row r="439">
      <c r="F439">
        <f>IF(AND(C439&lt;&gt;"",E439&lt;&gt;""),E439-C439,"")</f>
        <v/>
      </c>
      <c r="G439">
        <f>IF(AND(C439&lt;&gt;"",C439&lt;&gt;0,E439&lt;&gt;""),(E439-C439)/C439*100,"")</f>
        <v/>
      </c>
    </row>
    <row r="440">
      <c r="F440">
        <f>IF(AND(C440&lt;&gt;"",E440&lt;&gt;""),E440-C440,"")</f>
        <v/>
      </c>
      <c r="G440">
        <f>IF(AND(C440&lt;&gt;"",C440&lt;&gt;0,E440&lt;&gt;""),(E440-C440)/C440*100,"")</f>
        <v/>
      </c>
    </row>
    <row r="441">
      <c r="F441">
        <f>IF(AND(C441&lt;&gt;"",E441&lt;&gt;""),E441-C441,"")</f>
        <v/>
      </c>
      <c r="G441">
        <f>IF(AND(C441&lt;&gt;"",C441&lt;&gt;0,E441&lt;&gt;""),(E441-C441)/C441*100,"")</f>
        <v/>
      </c>
    </row>
    <row r="442">
      <c r="F442">
        <f>IF(AND(C442&lt;&gt;"",E442&lt;&gt;""),E442-C442,"")</f>
        <v/>
      </c>
      <c r="G442">
        <f>IF(AND(C442&lt;&gt;"",C442&lt;&gt;0,E442&lt;&gt;""),(E442-C442)/C442*100,"")</f>
        <v/>
      </c>
    </row>
    <row r="443">
      <c r="F443">
        <f>IF(AND(C443&lt;&gt;"",E443&lt;&gt;""),E443-C443,"")</f>
        <v/>
      </c>
      <c r="G443">
        <f>IF(AND(C443&lt;&gt;"",C443&lt;&gt;0,E443&lt;&gt;""),(E443-C443)/C443*100,"")</f>
        <v/>
      </c>
    </row>
    <row r="444">
      <c r="F444">
        <f>IF(AND(C444&lt;&gt;"",E444&lt;&gt;""),E444-C444,"")</f>
        <v/>
      </c>
      <c r="G444">
        <f>IF(AND(C444&lt;&gt;"",C444&lt;&gt;0,E444&lt;&gt;""),(E444-C444)/C444*100,"")</f>
        <v/>
      </c>
    </row>
    <row r="445">
      <c r="F445">
        <f>IF(AND(C445&lt;&gt;"",E445&lt;&gt;""),E445-C445,"")</f>
        <v/>
      </c>
      <c r="G445">
        <f>IF(AND(C445&lt;&gt;"",C445&lt;&gt;0,E445&lt;&gt;""),(E445-C445)/C445*100,"")</f>
        <v/>
      </c>
    </row>
    <row r="446">
      <c r="F446">
        <f>IF(AND(C446&lt;&gt;"",E446&lt;&gt;""),E446-C446,"")</f>
        <v/>
      </c>
      <c r="G446">
        <f>IF(AND(C446&lt;&gt;"",C446&lt;&gt;0,E446&lt;&gt;""),(E446-C446)/C446*100,"")</f>
        <v/>
      </c>
    </row>
    <row r="447">
      <c r="F447">
        <f>IF(AND(C447&lt;&gt;"",E447&lt;&gt;""),E447-C447,"")</f>
        <v/>
      </c>
      <c r="G447">
        <f>IF(AND(C447&lt;&gt;"",C447&lt;&gt;0,E447&lt;&gt;""),(E447-C447)/C447*100,"")</f>
        <v/>
      </c>
    </row>
    <row r="448">
      <c r="F448">
        <f>IF(AND(C448&lt;&gt;"",E448&lt;&gt;""),E448-C448,"")</f>
        <v/>
      </c>
      <c r="G448">
        <f>IF(AND(C448&lt;&gt;"",C448&lt;&gt;0,E448&lt;&gt;""),(E448-C448)/C448*100,"")</f>
        <v/>
      </c>
    </row>
    <row r="449">
      <c r="F449">
        <f>IF(AND(C449&lt;&gt;"",E449&lt;&gt;""),E449-C449,"")</f>
        <v/>
      </c>
      <c r="G449">
        <f>IF(AND(C449&lt;&gt;"",C449&lt;&gt;0,E449&lt;&gt;""),(E449-C449)/C449*100,"")</f>
        <v/>
      </c>
    </row>
    <row r="450">
      <c r="F450">
        <f>IF(AND(C450&lt;&gt;"",E450&lt;&gt;""),E450-C450,"")</f>
        <v/>
      </c>
      <c r="G450">
        <f>IF(AND(C450&lt;&gt;"",C450&lt;&gt;0,E450&lt;&gt;""),(E450-C450)/C450*100,"")</f>
        <v/>
      </c>
    </row>
    <row r="451">
      <c r="F451">
        <f>IF(AND(C451&lt;&gt;"",E451&lt;&gt;""),E451-C451,"")</f>
        <v/>
      </c>
      <c r="G451">
        <f>IF(AND(C451&lt;&gt;"",C451&lt;&gt;0,E451&lt;&gt;""),(E451-C451)/C451*100,"")</f>
        <v/>
      </c>
    </row>
    <row r="452">
      <c r="F452">
        <f>IF(AND(C452&lt;&gt;"",E452&lt;&gt;""),E452-C452,"")</f>
        <v/>
      </c>
      <c r="G452">
        <f>IF(AND(C452&lt;&gt;"",C452&lt;&gt;0,E452&lt;&gt;""),(E452-C452)/C452*100,"")</f>
        <v/>
      </c>
    </row>
    <row r="453">
      <c r="F453">
        <f>IF(AND(C453&lt;&gt;"",E453&lt;&gt;""),E453-C453,"")</f>
        <v/>
      </c>
      <c r="G453">
        <f>IF(AND(C453&lt;&gt;"",C453&lt;&gt;0,E453&lt;&gt;""),(E453-C453)/C453*100,"")</f>
        <v/>
      </c>
    </row>
    <row r="454">
      <c r="F454">
        <f>IF(AND(C454&lt;&gt;"",E454&lt;&gt;""),E454-C454,"")</f>
        <v/>
      </c>
      <c r="G454">
        <f>IF(AND(C454&lt;&gt;"",C454&lt;&gt;0,E454&lt;&gt;""),(E454-C454)/C454*100,"")</f>
        <v/>
      </c>
    </row>
    <row r="455">
      <c r="F455">
        <f>IF(AND(C455&lt;&gt;"",E455&lt;&gt;""),E455-C455,"")</f>
        <v/>
      </c>
      <c r="G455">
        <f>IF(AND(C455&lt;&gt;"",C455&lt;&gt;0,E455&lt;&gt;""),(E455-C455)/C455*100,"")</f>
        <v/>
      </c>
    </row>
    <row r="456">
      <c r="F456">
        <f>IF(AND(C456&lt;&gt;"",E456&lt;&gt;""),E456-C456,"")</f>
        <v/>
      </c>
      <c r="G456">
        <f>IF(AND(C456&lt;&gt;"",C456&lt;&gt;0,E456&lt;&gt;""),(E456-C456)/C456*100,"")</f>
        <v/>
      </c>
    </row>
    <row r="457">
      <c r="F457">
        <f>IF(AND(C457&lt;&gt;"",E457&lt;&gt;""),E457-C457,"")</f>
        <v/>
      </c>
      <c r="G457">
        <f>IF(AND(C457&lt;&gt;"",C457&lt;&gt;0,E457&lt;&gt;""),(E457-C457)/C457*100,"")</f>
        <v/>
      </c>
    </row>
    <row r="458">
      <c r="F458">
        <f>IF(AND(C458&lt;&gt;"",E458&lt;&gt;""),E458-C458,"")</f>
        <v/>
      </c>
      <c r="G458">
        <f>IF(AND(C458&lt;&gt;"",C458&lt;&gt;0,E458&lt;&gt;""),(E458-C458)/C458*100,"")</f>
        <v/>
      </c>
    </row>
    <row r="459">
      <c r="F459">
        <f>IF(AND(C459&lt;&gt;"",E459&lt;&gt;""),E459-C459,"")</f>
        <v/>
      </c>
      <c r="G459">
        <f>IF(AND(C459&lt;&gt;"",C459&lt;&gt;0,E459&lt;&gt;""),(E459-C459)/C459*100,"")</f>
        <v/>
      </c>
    </row>
    <row r="460">
      <c r="F460">
        <f>IF(AND(C460&lt;&gt;"",E460&lt;&gt;""),E460-C460,"")</f>
        <v/>
      </c>
      <c r="G460">
        <f>IF(AND(C460&lt;&gt;"",C460&lt;&gt;0,E460&lt;&gt;""),(E460-C460)/C460*100,"")</f>
        <v/>
      </c>
    </row>
    <row r="461">
      <c r="F461">
        <f>IF(AND(C461&lt;&gt;"",E461&lt;&gt;""),E461-C461,"")</f>
        <v/>
      </c>
      <c r="G461">
        <f>IF(AND(C461&lt;&gt;"",C461&lt;&gt;0,E461&lt;&gt;""),(E461-C461)/C461*100,"")</f>
        <v/>
      </c>
    </row>
    <row r="462">
      <c r="F462">
        <f>IF(AND(C462&lt;&gt;"",E462&lt;&gt;""),E462-C462,"")</f>
        <v/>
      </c>
      <c r="G462">
        <f>IF(AND(C462&lt;&gt;"",C462&lt;&gt;0,E462&lt;&gt;""),(E462-C462)/C462*100,"")</f>
        <v/>
      </c>
    </row>
    <row r="463">
      <c r="F463">
        <f>IF(AND(C463&lt;&gt;"",E463&lt;&gt;""),E463-C463,"")</f>
        <v/>
      </c>
      <c r="G463">
        <f>IF(AND(C463&lt;&gt;"",C463&lt;&gt;0,E463&lt;&gt;""),(E463-C463)/C463*100,"")</f>
        <v/>
      </c>
    </row>
    <row r="464">
      <c r="F464">
        <f>IF(AND(C464&lt;&gt;"",E464&lt;&gt;""),E464-C464,"")</f>
        <v/>
      </c>
      <c r="G464">
        <f>IF(AND(C464&lt;&gt;"",C464&lt;&gt;0,E464&lt;&gt;""),(E464-C464)/C464*100,"")</f>
        <v/>
      </c>
    </row>
    <row r="465">
      <c r="F465">
        <f>IF(AND(C465&lt;&gt;"",E465&lt;&gt;""),E465-C465,"")</f>
        <v/>
      </c>
      <c r="G465">
        <f>IF(AND(C465&lt;&gt;"",C465&lt;&gt;0,E465&lt;&gt;""),(E465-C465)/C465*100,"")</f>
        <v/>
      </c>
    </row>
    <row r="466">
      <c r="F466">
        <f>IF(AND(C466&lt;&gt;"",E466&lt;&gt;""),E466-C466,"")</f>
        <v/>
      </c>
      <c r="G466">
        <f>IF(AND(C466&lt;&gt;"",C466&lt;&gt;0,E466&lt;&gt;""),(E466-C466)/C466*100,"")</f>
        <v/>
      </c>
    </row>
    <row r="467">
      <c r="F467">
        <f>IF(AND(C467&lt;&gt;"",E467&lt;&gt;""),E467-C467,"")</f>
        <v/>
      </c>
      <c r="G467">
        <f>IF(AND(C467&lt;&gt;"",C467&lt;&gt;0,E467&lt;&gt;""),(E467-C467)/C467*100,"")</f>
        <v/>
      </c>
    </row>
    <row r="468">
      <c r="F468">
        <f>IF(AND(C468&lt;&gt;"",E468&lt;&gt;""),E468-C468,"")</f>
        <v/>
      </c>
      <c r="G468">
        <f>IF(AND(C468&lt;&gt;"",C468&lt;&gt;0,E468&lt;&gt;""),(E468-C468)/C468*100,"")</f>
        <v/>
      </c>
    </row>
    <row r="469">
      <c r="F469">
        <f>IF(AND(C469&lt;&gt;"",E469&lt;&gt;""),E469-C469,"")</f>
        <v/>
      </c>
      <c r="G469">
        <f>IF(AND(C469&lt;&gt;"",C469&lt;&gt;0,E469&lt;&gt;""),(E469-C469)/C469*100,"")</f>
        <v/>
      </c>
    </row>
    <row r="470">
      <c r="F470">
        <f>IF(AND(C470&lt;&gt;"",E470&lt;&gt;""),E470-C470,"")</f>
        <v/>
      </c>
      <c r="G470">
        <f>IF(AND(C470&lt;&gt;"",C470&lt;&gt;0,E470&lt;&gt;""),(E470-C470)/C470*100,"")</f>
        <v/>
      </c>
    </row>
    <row r="471">
      <c r="F471">
        <f>IF(AND(C471&lt;&gt;"",E471&lt;&gt;""),E471-C471,"")</f>
        <v/>
      </c>
      <c r="G471">
        <f>IF(AND(C471&lt;&gt;"",C471&lt;&gt;0,E471&lt;&gt;""),(E471-C471)/C471*100,"")</f>
        <v/>
      </c>
    </row>
    <row r="472">
      <c r="F472">
        <f>IF(AND(C472&lt;&gt;"",E472&lt;&gt;""),E472-C472,"")</f>
        <v/>
      </c>
      <c r="G472">
        <f>IF(AND(C472&lt;&gt;"",C472&lt;&gt;0,E472&lt;&gt;""),(E472-C472)/C472*100,"")</f>
        <v/>
      </c>
    </row>
    <row r="473">
      <c r="F473">
        <f>IF(AND(C473&lt;&gt;"",E473&lt;&gt;""),E473-C473,"")</f>
        <v/>
      </c>
      <c r="G473">
        <f>IF(AND(C473&lt;&gt;"",C473&lt;&gt;0,E473&lt;&gt;""),(E473-C473)/C473*100,"")</f>
        <v/>
      </c>
    </row>
    <row r="474">
      <c r="F474">
        <f>IF(AND(C474&lt;&gt;"",E474&lt;&gt;""),E474-C474,"")</f>
        <v/>
      </c>
      <c r="G474">
        <f>IF(AND(C474&lt;&gt;"",C474&lt;&gt;0,E474&lt;&gt;""),(E474-C474)/C474*100,"")</f>
        <v/>
      </c>
    </row>
    <row r="475">
      <c r="F475">
        <f>IF(AND(C475&lt;&gt;"",E475&lt;&gt;""),E475-C475,"")</f>
        <v/>
      </c>
      <c r="G475">
        <f>IF(AND(C475&lt;&gt;"",C475&lt;&gt;0,E475&lt;&gt;""),(E475-C475)/C475*100,"")</f>
        <v/>
      </c>
    </row>
    <row r="476">
      <c r="F476">
        <f>IF(AND(C476&lt;&gt;"",E476&lt;&gt;""),E476-C476,"")</f>
        <v/>
      </c>
      <c r="G476">
        <f>IF(AND(C476&lt;&gt;"",C476&lt;&gt;0,E476&lt;&gt;""),(E476-C476)/C476*100,"")</f>
        <v/>
      </c>
    </row>
    <row r="477">
      <c r="F477">
        <f>IF(AND(C477&lt;&gt;"",E477&lt;&gt;""),E477-C477,"")</f>
        <v/>
      </c>
      <c r="G477">
        <f>IF(AND(C477&lt;&gt;"",C477&lt;&gt;0,E477&lt;&gt;""),(E477-C477)/C477*100,"")</f>
        <v/>
      </c>
    </row>
    <row r="478">
      <c r="F478">
        <f>IF(AND(C478&lt;&gt;"",E478&lt;&gt;""),E478-C478,"")</f>
        <v/>
      </c>
      <c r="G478">
        <f>IF(AND(C478&lt;&gt;"",C478&lt;&gt;0,E478&lt;&gt;""),(E478-C478)/C478*100,"")</f>
        <v/>
      </c>
    </row>
    <row r="479">
      <c r="F479">
        <f>IF(AND(C479&lt;&gt;"",E479&lt;&gt;""),E479-C479,"")</f>
        <v/>
      </c>
      <c r="G479">
        <f>IF(AND(C479&lt;&gt;"",C479&lt;&gt;0,E479&lt;&gt;""),(E479-C479)/C479*100,"")</f>
        <v/>
      </c>
    </row>
    <row r="480">
      <c r="F480">
        <f>IF(AND(C480&lt;&gt;"",E480&lt;&gt;""),E480-C480,"")</f>
        <v/>
      </c>
      <c r="G480">
        <f>IF(AND(C480&lt;&gt;"",C480&lt;&gt;0,E480&lt;&gt;""),(E480-C480)/C480*100,"")</f>
        <v/>
      </c>
    </row>
    <row r="481">
      <c r="F481">
        <f>IF(AND(C481&lt;&gt;"",E481&lt;&gt;""),E481-C481,"")</f>
        <v/>
      </c>
      <c r="G481">
        <f>IF(AND(C481&lt;&gt;"",C481&lt;&gt;0,E481&lt;&gt;""),(E481-C481)/C481*100,"")</f>
        <v/>
      </c>
    </row>
    <row r="482">
      <c r="F482">
        <f>IF(AND(C482&lt;&gt;"",E482&lt;&gt;""),E482-C482,"")</f>
        <v/>
      </c>
      <c r="G482">
        <f>IF(AND(C482&lt;&gt;"",C482&lt;&gt;0,E482&lt;&gt;""),(E482-C482)/C482*100,"")</f>
        <v/>
      </c>
    </row>
    <row r="483">
      <c r="F483">
        <f>IF(AND(C483&lt;&gt;"",E483&lt;&gt;""),E483-C483,"")</f>
        <v/>
      </c>
      <c r="G483">
        <f>IF(AND(C483&lt;&gt;"",C483&lt;&gt;0,E483&lt;&gt;""),(E483-C483)/C483*100,"")</f>
        <v/>
      </c>
    </row>
    <row r="484">
      <c r="F484">
        <f>IF(AND(C484&lt;&gt;"",E484&lt;&gt;""),E484-C484,"")</f>
        <v/>
      </c>
      <c r="G484">
        <f>IF(AND(C484&lt;&gt;"",C484&lt;&gt;0,E484&lt;&gt;""),(E484-C484)/C484*100,"")</f>
        <v/>
      </c>
    </row>
    <row r="485">
      <c r="F485">
        <f>IF(AND(C485&lt;&gt;"",E485&lt;&gt;""),E485-C485,"")</f>
        <v/>
      </c>
      <c r="G485">
        <f>IF(AND(C485&lt;&gt;"",C485&lt;&gt;0,E485&lt;&gt;""),(E485-C485)/C485*100,"")</f>
        <v/>
      </c>
    </row>
    <row r="486">
      <c r="F486">
        <f>IF(AND(C486&lt;&gt;"",E486&lt;&gt;""),E486-C486,"")</f>
        <v/>
      </c>
      <c r="G486">
        <f>IF(AND(C486&lt;&gt;"",C486&lt;&gt;0,E486&lt;&gt;""),(E486-C486)/C486*100,"")</f>
        <v/>
      </c>
    </row>
    <row r="487">
      <c r="F487">
        <f>IF(AND(C487&lt;&gt;"",E487&lt;&gt;""),E487-C487,"")</f>
        <v/>
      </c>
      <c r="G487">
        <f>IF(AND(C487&lt;&gt;"",C487&lt;&gt;0,E487&lt;&gt;""),(E487-C487)/C487*100,"")</f>
        <v/>
      </c>
    </row>
    <row r="488">
      <c r="F488">
        <f>IF(AND(C488&lt;&gt;"",E488&lt;&gt;""),E488-C488,"")</f>
        <v/>
      </c>
      <c r="G488">
        <f>IF(AND(C488&lt;&gt;"",C488&lt;&gt;0,E488&lt;&gt;""),(E488-C488)/C488*100,"")</f>
        <v/>
      </c>
    </row>
    <row r="489">
      <c r="F489">
        <f>IF(AND(C489&lt;&gt;"",E489&lt;&gt;""),E489-C489,"")</f>
        <v/>
      </c>
      <c r="G489">
        <f>IF(AND(C489&lt;&gt;"",C489&lt;&gt;0,E489&lt;&gt;""),(E489-C489)/C489*100,"")</f>
        <v/>
      </c>
    </row>
    <row r="490">
      <c r="F490">
        <f>IF(AND(C490&lt;&gt;"",E490&lt;&gt;""),E490-C490,"")</f>
        <v/>
      </c>
      <c r="G490">
        <f>IF(AND(C490&lt;&gt;"",C490&lt;&gt;0,E490&lt;&gt;""),(E490-C490)/C490*100,"")</f>
        <v/>
      </c>
    </row>
    <row r="491">
      <c r="F491">
        <f>IF(AND(C491&lt;&gt;"",E491&lt;&gt;""),E491-C491,"")</f>
        <v/>
      </c>
      <c r="G491">
        <f>IF(AND(C491&lt;&gt;"",C491&lt;&gt;0,E491&lt;&gt;""),(E491-C491)/C491*100,"")</f>
        <v/>
      </c>
    </row>
    <row r="492">
      <c r="F492">
        <f>IF(AND(C492&lt;&gt;"",E492&lt;&gt;""),E492-C492,"")</f>
        <v/>
      </c>
      <c r="G492">
        <f>IF(AND(C492&lt;&gt;"",C492&lt;&gt;0,E492&lt;&gt;""),(E492-C492)/C492*100,"")</f>
        <v/>
      </c>
    </row>
    <row r="493">
      <c r="F493">
        <f>IF(AND(C493&lt;&gt;"",E493&lt;&gt;""),E493-C493,"")</f>
        <v/>
      </c>
      <c r="G493">
        <f>IF(AND(C493&lt;&gt;"",C493&lt;&gt;0,E493&lt;&gt;""),(E493-C493)/C493*100,"")</f>
        <v/>
      </c>
    </row>
    <row r="494">
      <c r="F494">
        <f>IF(AND(C494&lt;&gt;"",E494&lt;&gt;""),E494-C494,"")</f>
        <v/>
      </c>
      <c r="G494">
        <f>IF(AND(C494&lt;&gt;"",C494&lt;&gt;0,E494&lt;&gt;""),(E494-C494)/C494*100,"")</f>
        <v/>
      </c>
    </row>
    <row r="495">
      <c r="F495">
        <f>IF(AND(C495&lt;&gt;"",E495&lt;&gt;""),E495-C495,"")</f>
        <v/>
      </c>
      <c r="G495">
        <f>IF(AND(C495&lt;&gt;"",C495&lt;&gt;0,E495&lt;&gt;""),(E495-C495)/C495*100,"")</f>
        <v/>
      </c>
    </row>
    <row r="496">
      <c r="F496">
        <f>IF(AND(C496&lt;&gt;"",E496&lt;&gt;""),E496-C496,"")</f>
        <v/>
      </c>
      <c r="G496">
        <f>IF(AND(C496&lt;&gt;"",C496&lt;&gt;0,E496&lt;&gt;""),(E496-C496)/C496*100,"")</f>
        <v/>
      </c>
    </row>
    <row r="497">
      <c r="F497">
        <f>IF(AND(C497&lt;&gt;"",E497&lt;&gt;""),E497-C497,"")</f>
        <v/>
      </c>
      <c r="G497">
        <f>IF(AND(C497&lt;&gt;"",C497&lt;&gt;0,E497&lt;&gt;""),(E497-C497)/C497*100,"")</f>
        <v/>
      </c>
    </row>
    <row r="498">
      <c r="F498">
        <f>IF(AND(C498&lt;&gt;"",E498&lt;&gt;""),E498-C498,"")</f>
        <v/>
      </c>
      <c r="G498">
        <f>IF(AND(C498&lt;&gt;"",C498&lt;&gt;0,E498&lt;&gt;""),(E498-C498)/C498*100,"")</f>
        <v/>
      </c>
    </row>
    <row r="499">
      <c r="F499">
        <f>IF(AND(C499&lt;&gt;"",E499&lt;&gt;""),E499-C499,"")</f>
        <v/>
      </c>
      <c r="G499">
        <f>IF(AND(C499&lt;&gt;"",C499&lt;&gt;0,E499&lt;&gt;""),(E499-C499)/C499*100,"")</f>
        <v/>
      </c>
    </row>
    <row r="500">
      <c r="F500">
        <f>IF(AND(C500&lt;&gt;"",E500&lt;&gt;""),E500-C500,"")</f>
        <v/>
      </c>
      <c r="G500">
        <f>IF(AND(C500&lt;&gt;"",C500&lt;&gt;0,E500&lt;&gt;""),(E500-C500)/C500*100,"")</f>
        <v/>
      </c>
    </row>
  </sheetData>
  <autoFilter ref="A1:K1"/>
  <conditionalFormatting sqref="G2:G500">
    <cfRule type="expression" priority="1" dxfId="0">
      <formula>AND(ISNUMBER($G2),$G2&gt;20)</formula>
    </cfRule>
    <cfRule type="expression" priority="2" dxfId="1">
      <formula>AND(ISNUMBER($G2),$G2&lt;-20)</formula>
    </cfRule>
    <cfRule type="expression" priority="3" dxfId="2">
      <formula>AND(ISNUMBER($G2),$G2&gt;=-10,$G2&lt;=10)</formula>
    </cfRule>
  </conditionalFormatting>
  <conditionalFormatting sqref="A2:K500">
    <cfRule type="expression" priority="4" dxfId="3">
      <formula>$H2&lt;&gt;""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4" max="4"/>
    <col width="12" customWidth="1" min="5" max="5"/>
    <col width="24" customWidth="1" min="7" max="7"/>
    <col width="16" customWidth="1" min="8" max="8"/>
  </cols>
  <sheetData>
    <row r="1">
      <c r="A1" s="2" t="inlineStr">
        <is>
          <t>Análises de Estimativas</t>
        </is>
      </c>
    </row>
    <row r="2">
      <c r="A2" s="3" t="inlineStr">
        <is>
          <t>Indicadores (KPIs)</t>
        </is>
      </c>
      <c r="D2" s="3" t="inlineStr">
        <is>
          <t>Por Técnica</t>
        </is>
      </c>
      <c r="G2" s="3" t="inlineStr">
        <is>
          <t>Desvio Médio por Responsável</t>
        </is>
      </c>
    </row>
    <row r="3">
      <c r="A3" s="4" t="inlineStr">
        <is>
          <t>Total de Estimativas</t>
        </is>
      </c>
      <c r="B3">
        <f>COUNTA(Estimativas!A2:A500)</f>
        <v/>
      </c>
      <c r="D3" s="4" t="inlineStr">
        <is>
          <t>Categoria</t>
        </is>
      </c>
      <c r="E3" s="4" t="inlineStr">
        <is>
          <t>Quantidade</t>
        </is>
      </c>
      <c r="G3" s="4" t="inlineStr">
        <is>
          <t>Responsável</t>
        </is>
      </c>
      <c r="H3" s="4" t="inlineStr">
        <is>
          <t>Desvio Médio (%)</t>
        </is>
      </c>
    </row>
    <row r="4">
      <c r="A4" s="4" t="inlineStr">
        <is>
          <t>Entregas Concluídas</t>
        </is>
      </c>
      <c r="B4">
        <f>COUNTIF(Estimativas!U2:U500,"Concluído")</f>
        <v/>
      </c>
      <c r="D4" t="inlineStr">
        <is>
          <t>Opinião Especializada</t>
        </is>
      </c>
      <c r="E4">
        <f>COUNTIF(Estimativas!H2:H500,$D4)</f>
        <v/>
      </c>
      <c r="H4">
        <f>IF($G4="","",IFERROR(AVERAGEIF(Planejado_vs_Realizado!I2:I500,$G4,Planejado_vs_Realizado!G2:G500),""))</f>
        <v/>
      </c>
    </row>
    <row r="5">
      <c r="A5" s="4" t="inlineStr">
        <is>
          <t>Média das Estimativas</t>
        </is>
      </c>
      <c r="B5">
        <f>IFERROR(AVERAGE(Estimativas!P2:P500),"")</f>
        <v/>
      </c>
      <c r="D5" t="inlineStr">
        <is>
          <t>Planning Poker</t>
        </is>
      </c>
      <c r="E5">
        <f>COUNTIF(Estimativas!H2:H500,$D5)</f>
        <v/>
      </c>
      <c r="H5">
        <f>IF($G5="","",IFERROR(AVERAGEIF(Planejado_vs_Realizado!I2:I500,$G5,Planejado_vs_Realizado!G2:G500),""))</f>
        <v/>
      </c>
    </row>
    <row r="6">
      <c r="A6" s="4" t="inlineStr">
        <is>
          <t>Média do Realizado</t>
        </is>
      </c>
      <c r="B6">
        <f>IFERROR(AVERAGE(Planejado_vs_Realizado!E2:E500),"")</f>
        <v/>
      </c>
      <c r="D6" t="inlineStr">
        <is>
          <t>Pontos de Função</t>
        </is>
      </c>
      <c r="E6">
        <f>COUNTIF(Estimativas!H2:H500,$D6)</f>
        <v/>
      </c>
      <c r="H6">
        <f>IF($G6="","",IFERROR(AVERAGEIF(Planejado_vs_Realizado!I2:I500,$G6,Planejado_vs_Realizado!G2:G500),""))</f>
        <v/>
      </c>
    </row>
    <row r="7">
      <c r="A7" s="4" t="inlineStr">
        <is>
          <t>Média do Desvio %</t>
        </is>
      </c>
      <c r="B7">
        <f>IFERROR(AVERAGE(Planejado_vs_Realizado!G2:G500),"")</f>
        <v/>
      </c>
      <c r="D7" t="inlineStr">
        <is>
          <t>Wideband Delphi</t>
        </is>
      </c>
      <c r="E7">
        <f>COUNTIF(Estimativas!H2:H500,$D7)</f>
        <v/>
      </c>
      <c r="H7">
        <f>IF($G7="","",IFERROR(AVERAGEIF(Planejado_vs_Realizado!I2:I500,$G7,Planejado_vs_Realizado!G2:G500),""))</f>
        <v/>
      </c>
    </row>
    <row r="8">
      <c r="A8" s="4" t="inlineStr">
        <is>
          <t>Mediana do Desvio %</t>
        </is>
      </c>
      <c r="B8">
        <f>IFERROR(MEDIAN(Planejado_vs_Realizado!G2:G500),"")</f>
        <v/>
      </c>
      <c r="D8" t="inlineStr">
        <is>
          <t>Análise Histórica</t>
        </is>
      </c>
      <c r="E8">
        <f>COUNTIF(Estimativas!H2:H500,$D8)</f>
        <v/>
      </c>
      <c r="H8">
        <f>IF($G8="","",IFERROR(AVERAGEIF(Planejado_vs_Realizado!I2:I500,$G8,Planejado_vs_Realizado!G2:G500),""))</f>
        <v/>
      </c>
    </row>
    <row r="9">
      <c r="A9" s="4" t="inlineStr">
        <is>
          <t>Maior Desvio Positivo (%)</t>
        </is>
      </c>
      <c r="B9">
        <f>IFERROR(MAX(Planejado_vs_Realizado!G2:G500),"")</f>
        <v/>
      </c>
      <c r="D9" t="inlineStr">
        <is>
          <t>Estimativa de Três Pontos</t>
        </is>
      </c>
      <c r="E9">
        <f>COUNTIF(Estimativas!H2:H500,$D9)</f>
        <v/>
      </c>
      <c r="H9">
        <f>IF($G9="","",IFERROR(AVERAGEIF(Planejado_vs_Realizado!I2:I500,$G9,Planejado_vs_Realizado!G2:G500),""))</f>
        <v/>
      </c>
    </row>
    <row r="10">
      <c r="A10" s="4" t="inlineStr">
        <is>
          <t>Maior Desvio Negativo (%)</t>
        </is>
      </c>
      <c r="B10">
        <f>IFERROR(MIN(Planejado_vs_Realizado!G2:G500),"")</f>
        <v/>
      </c>
      <c r="D10" t="inlineStr">
        <is>
          <t>PSP</t>
        </is>
      </c>
      <c r="E10">
        <f>COUNTIF(Estimativas!H2:H500,$D10)</f>
        <v/>
      </c>
      <c r="H10">
        <f>IF($G10="","",IFERROR(AVERAGEIF(Planejado_vs_Realizado!I2:I500,$G10,Planejado_vs_Realizado!G2:G500),""))</f>
        <v/>
      </c>
    </row>
    <row r="11">
      <c r="A11" s="4" t="inlineStr">
        <is>
          <t>% dentro de ±10%</t>
        </is>
      </c>
      <c r="B11">
        <f>IFERROR(COUNTIFS(Planejado_vs_Realizado!G2:G500,"&gt;=-10",Planejado_vs_Realizado!G2:G500,"&lt;=10")/COUNT(Planejado_vs_Realizado!G2:G500)*100,"")</f>
        <v/>
      </c>
      <c r="D11" t="inlineStr">
        <is>
          <t>Outra</t>
        </is>
      </c>
      <c r="E11">
        <f>COUNTIF(Estimativas!H2:H500,$D11)</f>
        <v/>
      </c>
      <c r="H11">
        <f>IF($G11="","",IFERROR(AVERAGEIF(Planejado_vs_Realizado!I2:I500,$G11,Planejado_vs_Realizado!G2:G500),""))</f>
        <v/>
      </c>
    </row>
    <row r="12">
      <c r="A12" s="4" t="inlineStr">
        <is>
          <t>% dentro de ±20%</t>
        </is>
      </c>
      <c r="B12">
        <f>IFERROR(COUNTIFS(Planejado_vs_Realizado!G2:G500,"&gt;=-20",Planejado_vs_Realizado!G2:G500,"&lt;=20")/COUNT(Planejado_vs_Realizado!G2:G500)*100,"")</f>
        <v/>
      </c>
      <c r="H12">
        <f>IF($G12="","",IFERROR(AVERAGEIF(Planejado_vs_Realizado!I2:I500,$G12,Planejado_vs_Realizado!G2:G500),""))</f>
        <v/>
      </c>
    </row>
    <row r="13">
      <c r="A13" s="4" t="inlineStr">
        <is>
          <t>% acima de 20% de desvio</t>
        </is>
      </c>
      <c r="B13">
        <f>IFERROR((COUNTIF(Planejado_vs_Realizado!G2:G500,"&gt;20")+COUNTIF(Planejado_vs_Realizado!G2:G500,"&lt;-20"))/COUNT(Planejado_vs_Realizado!G2:G500)*100,"")</f>
        <v/>
      </c>
      <c r="D13" s="3" t="inlineStr">
        <is>
          <t>Por Complexidade</t>
        </is>
      </c>
      <c r="H13">
        <f>IF($G13="","",IFERROR(AVERAGEIF(Planejado_vs_Realizado!I2:I500,$G13,Planejado_vs_Realizado!G2:G500),""))</f>
        <v/>
      </c>
    </row>
    <row r="14">
      <c r="D14" s="4" t="inlineStr">
        <is>
          <t>Categoria</t>
        </is>
      </c>
      <c r="E14" s="4" t="inlineStr">
        <is>
          <t>Quantidade</t>
        </is>
      </c>
    </row>
    <row r="15">
      <c r="D15" t="inlineStr">
        <is>
          <t>Baixa</t>
        </is>
      </c>
      <c r="E15">
        <f>COUNTIF(Estimativas!J2:J500,$D15)</f>
        <v/>
      </c>
      <c r="G15" s="3" t="inlineStr">
        <is>
          <t>Estimativas por Projeto</t>
        </is>
      </c>
    </row>
    <row r="16">
      <c r="D16" t="inlineStr">
        <is>
          <t>Média</t>
        </is>
      </c>
      <c r="E16">
        <f>COUNTIF(Estimativas!J2:J500,$D16)</f>
        <v/>
      </c>
      <c r="G16" s="4" t="inlineStr">
        <is>
          <t>Projeto</t>
        </is>
      </c>
      <c r="H16" s="4" t="inlineStr">
        <is>
          <t>Quantidade</t>
        </is>
      </c>
    </row>
    <row r="17">
      <c r="D17" t="inlineStr">
        <is>
          <t>Alta</t>
        </is>
      </c>
      <c r="E17">
        <f>COUNTIF(Estimativas!J2:J500,$D17)</f>
        <v/>
      </c>
      <c r="H17">
        <f>IF($G17="","",COUNTIF(Estimativas!B2:B500,$G17))</f>
        <v/>
      </c>
    </row>
    <row r="18">
      <c r="D18" t="inlineStr">
        <is>
          <t>Muito Alta</t>
        </is>
      </c>
      <c r="E18">
        <f>COUNTIF(Estimativas!J2:J500,$D18)</f>
        <v/>
      </c>
      <c r="H18">
        <f>IF($G18="","",COUNTIF(Estimativas!B2:B500,$G18))</f>
        <v/>
      </c>
    </row>
    <row r="19">
      <c r="H19">
        <f>IF($G19="","",COUNTIF(Estimativas!B2:B500,$G19))</f>
        <v/>
      </c>
    </row>
    <row r="20">
      <c r="H20">
        <f>IF($G20="","",COUNTIF(Estimativas!B2:B500,$G20))</f>
        <v/>
      </c>
    </row>
    <row r="21">
      <c r="H21">
        <f>IF($G21="","",COUNTIF(Estimativas!B2:B500,$G21))</f>
        <v/>
      </c>
    </row>
    <row r="22">
      <c r="H22">
        <f>IF($G22="","",COUNTIF(Estimativas!B2:B500,$G22))</f>
        <v/>
      </c>
    </row>
    <row r="23">
      <c r="H23">
        <f>IF($G23="","",COUNTIF(Estimativas!B2:B500,$G23))</f>
        <v/>
      </c>
    </row>
    <row r="24">
      <c r="H24">
        <f>IF($G24="","",COUNTIF(Estimativas!B2:B500,$G24))</f>
        <v/>
      </c>
    </row>
    <row r="25">
      <c r="H25">
        <f>IF($G25="","",COUNTIF(Estimativas!B2:B500,$G25))</f>
        <v/>
      </c>
    </row>
    <row r="26">
      <c r="H26">
        <f>IF($G26="","",COUNTIF(Estimativas!B2:B500,$G26))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4" max="4"/>
    <col width="16" customWidth="1" min="5" max="5"/>
  </cols>
  <sheetData>
    <row r="1">
      <c r="A1" s="5" t="inlineStr">
        <is>
          <t>Painel de Estimativas</t>
        </is>
      </c>
    </row>
    <row r="3">
      <c r="A3" s="3" t="inlineStr">
        <is>
          <t>Indicadores (KPIs)</t>
        </is>
      </c>
      <c r="D3" s="3" t="inlineStr">
        <is>
          <t>Evolução Mensal do Desvio % Médio</t>
        </is>
      </c>
    </row>
    <row r="4">
      <c r="A4" s="4" t="inlineStr">
        <is>
          <t>Total de Estimativas</t>
        </is>
      </c>
      <c r="B4">
        <f>Analises!B3</f>
        <v/>
      </c>
      <c r="D4" s="4" t="inlineStr">
        <is>
          <t>Mês</t>
        </is>
      </c>
      <c r="E4" s="4" t="inlineStr">
        <is>
          <t>Desvio Médio (%)</t>
        </is>
      </c>
    </row>
    <row r="5">
      <c r="A5" s="4" t="inlineStr">
        <is>
          <t>% dentro de ±10%</t>
        </is>
      </c>
      <c r="B5">
        <f>Analises!B11</f>
        <v/>
      </c>
      <c r="D5" t="inlineStr">
        <is>
          <t>2026-01</t>
        </is>
      </c>
      <c r="E5">
        <f>IFERROR(AVERAGEIFS(Planejado_vs_Realizado!$G$2:$G$500,Planejado_vs_Realizado!$H$2:$H$500,"&gt;="&amp;DATE(2026,1,1),Planejado_vs_Realizado!$H$2:$H$500,"&lt;="&amp;DATE(2026,1,DAY(EOMONTH(DATE(2026,1,1),0)))),"")</f>
        <v/>
      </c>
    </row>
    <row r="6">
      <c r="A6" s="4" t="inlineStr">
        <is>
          <t>% dentro de ±20%</t>
        </is>
      </c>
      <c r="B6">
        <f>Analises!B12</f>
        <v/>
      </c>
      <c r="D6" t="inlineStr">
        <is>
          <t>2026-02</t>
        </is>
      </c>
      <c r="E6">
        <f>IFERROR(AVERAGEIFS(Planejado_vs_Realizado!$G$2:$G$500,Planejado_vs_Realizado!$H$2:$H$500,"&gt;="&amp;DATE(2026,2,1),Planejado_vs_Realizado!$H$2:$H$500,"&lt;="&amp;DATE(2026,2,DAY(EOMONTH(DATE(2026,2,1),0)))),"")</f>
        <v/>
      </c>
    </row>
    <row r="7">
      <c r="A7" s="4" t="inlineStr">
        <is>
          <t>Média do Desvio %</t>
        </is>
      </c>
      <c r="B7">
        <f>Analises!B7</f>
        <v/>
      </c>
      <c r="D7" t="inlineStr">
        <is>
          <t>2026-03</t>
        </is>
      </c>
      <c r="E7">
        <f>IFERROR(AVERAGEIFS(Planejado_vs_Realizado!$G$2:$G$500,Planejado_vs_Realizado!$H$2:$H$500,"&gt;="&amp;DATE(2026,3,1),Planejado_vs_Realizado!$H$2:$H$500,"&lt;="&amp;DATE(2026,3,DAY(EOMONTH(DATE(2026,3,1),0)))),"")</f>
        <v/>
      </c>
    </row>
    <row r="8">
      <c r="A8" s="4" t="inlineStr">
        <is>
          <t>Mediana do Desvio %</t>
        </is>
      </c>
      <c r="B8">
        <f>Analises!B8</f>
        <v/>
      </c>
      <c r="D8" t="inlineStr">
        <is>
          <t>2026-04</t>
        </is>
      </c>
      <c r="E8">
        <f>IFERROR(AVERAGEIFS(Planejado_vs_Realizado!$G$2:$G$500,Planejado_vs_Realizado!$H$2:$H$500,"&gt;="&amp;DATE(2026,4,1),Planejado_vs_Realizado!$H$2:$H$500,"&lt;="&amp;DATE(2026,4,DAY(EOMONTH(DATE(2026,4,1),0)))),"")</f>
        <v/>
      </c>
    </row>
    <row r="9">
      <c r="D9" t="inlineStr">
        <is>
          <t>2026-05</t>
        </is>
      </c>
      <c r="E9">
        <f>IFERROR(AVERAGEIFS(Planejado_vs_Realizado!$G$2:$G$500,Planejado_vs_Realizado!$H$2:$H$500,"&gt;="&amp;DATE(2026,5,1),Planejado_vs_Realizado!$H$2:$H$500,"&lt;="&amp;DATE(2026,5,DAY(EOMONTH(DATE(2026,5,1),0)))),"")</f>
        <v/>
      </c>
    </row>
    <row r="10">
      <c r="D10" t="inlineStr">
        <is>
          <t>2026-06</t>
        </is>
      </c>
      <c r="E10">
        <f>IFERROR(AVERAGEIFS(Planejado_vs_Realizado!$G$2:$G$500,Planejado_vs_Realizado!$H$2:$H$500,"&gt;="&amp;DATE(2026,6,1),Planejado_vs_Realizado!$H$2:$H$500,"&lt;="&amp;DATE(2026,6,DAY(EOMONTH(DATE(2026,6,1),0)))),"")</f>
        <v/>
      </c>
    </row>
    <row r="11">
      <c r="D11" t="inlineStr">
        <is>
          <t>2026-07</t>
        </is>
      </c>
      <c r="E11">
        <f>IFERROR(AVERAGEIFS(Planejado_vs_Realizado!$G$2:$G$500,Planejado_vs_Realizado!$H$2:$H$500,"&gt;="&amp;DATE(2026,7,1),Planejado_vs_Realizado!$H$2:$H$500,"&lt;="&amp;DATE(2026,7,DAY(EOMONTH(DATE(2026,7,1),0)))),"")</f>
        <v/>
      </c>
    </row>
    <row r="12">
      <c r="D12" t="inlineStr">
        <is>
          <t>2026-08</t>
        </is>
      </c>
      <c r="E12">
        <f>IFERROR(AVERAGEIFS(Planejado_vs_Realizado!$G$2:$G$500,Planejado_vs_Realizado!$H$2:$H$500,"&gt;="&amp;DATE(2026,8,1),Planejado_vs_Realizado!$H$2:$H$500,"&lt;="&amp;DATE(2026,8,DAY(EOMONTH(DATE(2026,8,1),0)))),"")</f>
        <v/>
      </c>
    </row>
    <row r="13">
      <c r="D13" t="inlineStr">
        <is>
          <t>2026-09</t>
        </is>
      </c>
      <c r="E13">
        <f>IFERROR(AVERAGEIFS(Planejado_vs_Realizado!$G$2:$G$500,Planejado_vs_Realizado!$H$2:$H$500,"&gt;="&amp;DATE(2026,9,1),Planejado_vs_Realizado!$H$2:$H$500,"&lt;="&amp;DATE(2026,9,DAY(EOMONTH(DATE(2026,9,1),0)))),"")</f>
        <v/>
      </c>
    </row>
    <row r="14">
      <c r="D14" t="inlineStr">
        <is>
          <t>2026-10</t>
        </is>
      </c>
      <c r="E14">
        <f>IFERROR(AVERAGEIFS(Planejado_vs_Realizado!$G$2:$G$500,Planejado_vs_Realizado!$H$2:$H$500,"&gt;="&amp;DATE(2026,10,1),Planejado_vs_Realizado!$H$2:$H$500,"&lt;="&amp;DATE(2026,10,DAY(EOMONTH(DATE(2026,10,1),0)))),"")</f>
        <v/>
      </c>
    </row>
    <row r="15">
      <c r="D15" t="inlineStr">
        <is>
          <t>2026-11</t>
        </is>
      </c>
      <c r="E15">
        <f>IFERROR(AVERAGEIFS(Planejado_vs_Realizado!$G$2:$G$500,Planejado_vs_Realizado!$H$2:$H$500,"&gt;="&amp;DATE(2026,11,1),Planejado_vs_Realizado!$H$2:$H$500,"&lt;="&amp;DATE(2026,11,DAY(EOMONTH(DATE(2026,11,1),0)))),"")</f>
        <v/>
      </c>
    </row>
    <row r="16">
      <c r="D16" t="inlineStr">
        <is>
          <t>2026-12</t>
        </is>
      </c>
      <c r="E16">
        <f>IFERROR(AVERAGEIFS(Planejado_vs_Realizado!$G$2:$G$500,Planejado_vs_Realizado!$H$2:$H$500,"&gt;="&amp;DATE(2026,12,1),Planejado_vs_Realizado!$H$2:$H$500,"&lt;="&amp;DATE(2026,12,DAY(EOMONTH(DATE(2026,12,1),0)))),"")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6" t="inlineStr">
        <is>
          <t>Complexidade</t>
        </is>
      </c>
      <c r="B1" s="6" t="inlineStr">
        <is>
          <t>Status</t>
        </is>
      </c>
      <c r="C1" s="6" t="inlineStr">
        <is>
          <t>Técnica de Estimativa</t>
        </is>
      </c>
      <c r="D1" s="6" t="inlineStr">
        <is>
          <t>Unidade</t>
        </is>
      </c>
    </row>
    <row r="2">
      <c r="A2" t="inlineStr">
        <is>
          <t>Baixa</t>
        </is>
      </c>
      <c r="B2" t="inlineStr">
        <is>
          <t>Planejado</t>
        </is>
      </c>
      <c r="C2" t="inlineStr">
        <is>
          <t>Opinião Especializada</t>
        </is>
      </c>
      <c r="D2" t="inlineStr">
        <is>
          <t>Horas</t>
        </is>
      </c>
    </row>
    <row r="3">
      <c r="A3" t="inlineStr">
        <is>
          <t>Média</t>
        </is>
      </c>
      <c r="B3" t="inlineStr">
        <is>
          <t>Em Execução</t>
        </is>
      </c>
      <c r="C3" t="inlineStr">
        <is>
          <t>Planning Poker</t>
        </is>
      </c>
      <c r="D3" t="inlineStr">
        <is>
          <t>Dias</t>
        </is>
      </c>
    </row>
    <row r="4">
      <c r="A4" t="inlineStr">
        <is>
          <t>Alta</t>
        </is>
      </c>
      <c r="B4" t="inlineStr">
        <is>
          <t>Concluído</t>
        </is>
      </c>
      <c r="C4" t="inlineStr">
        <is>
          <t>Pontos de Função</t>
        </is>
      </c>
      <c r="D4" t="inlineStr">
        <is>
          <t>Story Points</t>
        </is>
      </c>
    </row>
    <row r="5">
      <c r="A5" t="inlineStr">
        <is>
          <t>Muito Alta</t>
        </is>
      </c>
      <c r="B5" t="inlineStr">
        <is>
          <t>Cancelado</t>
        </is>
      </c>
      <c r="C5" t="inlineStr">
        <is>
          <t>Wideband Delphi</t>
        </is>
      </c>
      <c r="D5" t="inlineStr">
        <is>
          <t>Pontos de Função</t>
        </is>
      </c>
    </row>
    <row r="6">
      <c r="C6" t="inlineStr">
        <is>
          <t>Análise Histórica</t>
        </is>
      </c>
      <c r="D6" t="inlineStr">
        <is>
          <t>Casos de Uso</t>
        </is>
      </c>
    </row>
    <row r="7">
      <c r="C7" t="inlineStr">
        <is>
          <t>Estimativa de Três Pontos</t>
        </is>
      </c>
      <c r="D7" t="inlineStr">
        <is>
          <t>Outra</t>
        </is>
      </c>
    </row>
    <row r="8">
      <c r="C8" t="inlineStr">
        <is>
          <t>PSP</t>
        </is>
      </c>
    </row>
    <row r="9">
      <c r="C9" t="inlineStr">
        <is>
          <t>Outra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2026-06-06T16:43:34Z</dcterms:created>
  <dcterms:modified xsi:type="dcterms:W3CDTF">2026-06-06T16:43:34Z</dcterms:modified>
</cp:coreProperties>
</file>