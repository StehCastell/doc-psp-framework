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itos" sheetId="1" state="visible" r:id="rId1"/>
    <sheet name="Indicadores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'Defeitos'!$A$1:$M$1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Severidade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'Analises'!B3</f>
            </strRef>
          </tx>
          <spPr>
            <a:ln>
              <a:prstDash val="solid"/>
            </a:ln>
          </spPr>
          <cat>
            <strRef>
              <f>'Analises'!$A$4:$A$7</f>
            </strRef>
          </cat>
          <val>
            <numRef>
              <f>'Analises'!$B$4:$B$7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Tipo</a:t>
            </a:r>
          </a:p>
        </rich>
      </tx>
    </title>
    <plotArea>
      <pieChart>
        <varyColors val="1"/>
        <ser>
          <idx val="0"/>
          <order val="0"/>
          <tx>
            <strRef>
              <f>'Analises'!B10</f>
            </strRef>
          </tx>
          <spPr>
            <a:ln>
              <a:prstDash val="solid"/>
            </a:ln>
          </spPr>
          <cat>
            <strRef>
              <f>'Analises'!$A$11:$A$20</f>
            </strRef>
          </cat>
          <val>
            <numRef>
              <f>'Analises'!$B$11:$B$20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Projeto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'Analises'!$D$4:$D$18</f>
            </strRef>
          </cat>
          <val>
            <numRef>
              <f>'Analises'!$E$4:$E$18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Temporal (Identificados)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20" customWidth="1" min="8" max="8"/>
    <col width="18" customWidth="1" min="9" max="9"/>
    <col width="13" customWidth="1" min="10" max="10"/>
    <col width="26" customWidth="1" min="11" max="11"/>
    <col width="16" customWidth="1" min="12" max="12"/>
    <col width="13" customWidth="1" min="13" max="13"/>
  </cols>
  <sheetData>
    <row r="1" ht="30" customHeight="1">
      <c r="A1" s="1" t="inlineStr">
        <is>
          <t>ID</t>
        </is>
      </c>
      <c r="B1" s="1" t="inlineStr">
        <is>
          <t>Data Identificação</t>
        </is>
      </c>
      <c r="C1" s="1" t="inlineStr">
        <is>
          <t>Projeto</t>
        </is>
      </c>
      <c r="D1" s="1" t="inlineStr">
        <is>
          <t>Módulo</t>
        </is>
      </c>
      <c r="E1" s="1" t="inlineStr">
        <is>
          <t>Tipo de Defeito</t>
        </is>
      </c>
      <c r="F1" s="1" t="inlineStr">
        <is>
          <t>Severidade</t>
        </is>
      </c>
      <c r="G1" s="1" t="inlineStr">
        <is>
          <t>Status</t>
        </is>
      </c>
      <c r="H1" s="1" t="inlineStr">
        <is>
          <t>Fase de Introdução</t>
        </is>
      </c>
      <c r="I1" s="1" t="inlineStr">
        <is>
          <t>Fase de Detecção</t>
        </is>
      </c>
      <c r="J1" s="1" t="inlineStr">
        <is>
          <t>Responsável</t>
        </is>
      </c>
      <c r="K1" s="1" t="inlineStr">
        <is>
          <t>Tempo de Correção (dias)</t>
        </is>
      </c>
      <c r="L1" s="1" t="inlineStr">
        <is>
          <t>Tamanho (KLOC)</t>
        </is>
      </c>
      <c r="M1" s="1" t="inlineStr">
        <is>
          <t>Causa Raiz</t>
        </is>
      </c>
    </row>
  </sheetData>
  <autoFilter ref="A1:M1"/>
  <conditionalFormatting sqref="F2:F500">
    <cfRule type="expression" priority="1" dxfId="0">
      <formula>EXACT($F2,"Crítica")</formula>
    </cfRule>
    <cfRule type="expression" priority="2" dxfId="1">
      <formula>EXACT($F2,"Alta")</formula>
    </cfRule>
  </conditionalFormatting>
  <conditionalFormatting sqref="G2:G500">
    <cfRule type="expression" priority="3" dxfId="2">
      <formula>EXACT($G2,"Fechado")</formula>
    </cfRule>
  </conditionalFormatting>
  <dataValidations count="5">
    <dataValidation sqref="E2:E500" showDropDown="0" showInputMessage="0" showErrorMessage="0" allowBlank="1" type="list">
      <formula1>=Listas!$C$2:$C$11</formula1>
    </dataValidation>
    <dataValidation sqref="F2:F500" showDropDown="0" showInputMessage="0" showErrorMessage="0" allowBlank="1" type="list">
      <formula1>=Listas!$A$2:$A$5</formula1>
    </dataValidation>
    <dataValidation sqref="G2:G500" showDropDown="0" showInputMessage="0" showErrorMessage="0" allowBlank="1" type="list">
      <formula1>=Listas!$B$2:$B$7</formula1>
    </dataValidation>
    <dataValidation sqref="H2:H500" showDropDown="0" showInputMessage="0" showErrorMessage="0" allowBlank="1" type="list">
      <formula1>=Listas!$D$2:$D$8</formula1>
    </dataValidation>
    <dataValidation sqref="I2:I500" showDropDown="0" showInputMessage="0" showErrorMessage="0" allowBlank="1" type="list">
      <formula1>=Listas!$D$2:$D$8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2" t="inlineStr">
        <is>
          <t>Indicadores Consolidados de Defeitos</t>
        </is>
      </c>
    </row>
    <row r="2">
      <c r="A2" s="3" t="inlineStr">
        <is>
          <t>Indicadores (KPIs)</t>
        </is>
      </c>
    </row>
    <row r="3">
      <c r="A3" s="4" t="inlineStr">
        <is>
          <t>Total de Defeitos</t>
        </is>
      </c>
      <c r="B3">
        <f>COUNTA(Defeitos!A2:A500)</f>
        <v/>
      </c>
    </row>
    <row r="4">
      <c r="A4" s="4" t="inlineStr">
        <is>
          <t>Defeitos Abertos</t>
        </is>
      </c>
      <c r="B4">
        <f>COUNTIF(Defeitos!G2:G500,"Aberto")</f>
        <v/>
      </c>
    </row>
    <row r="5">
      <c r="A5" s="4" t="inlineStr">
        <is>
          <t>Defeitos Fechados</t>
        </is>
      </c>
      <c r="B5">
        <f>COUNTIF(Defeitos!G2:G500,"Fechado")</f>
        <v/>
      </c>
    </row>
    <row r="6">
      <c r="A6" s="4" t="inlineStr">
        <is>
          <t>Defeitos Críticos</t>
        </is>
      </c>
      <c r="B6">
        <f>COUNTIF(Defeitos!F2:F500,"Crítica")</f>
        <v/>
      </c>
    </row>
    <row r="7">
      <c r="A7" s="4" t="inlineStr">
        <is>
          <t>Tempo Médio de Correção (dias)</t>
        </is>
      </c>
      <c r="B7">
        <f>IFERROR(AVERAGE(Defeitos!K2:K500),"")</f>
        <v/>
      </c>
    </row>
    <row r="8">
      <c r="A8" s="4" t="inlineStr">
        <is>
          <t>Tamanho Total (KLOC)</t>
        </is>
      </c>
      <c r="B8">
        <f>SUM(Defeitos!L2:L500)</f>
        <v/>
      </c>
    </row>
    <row r="9">
      <c r="A9" s="4" t="inlineStr">
        <is>
          <t>Densidade de Defeitos (def/KLOC)</t>
        </is>
      </c>
      <c r="B9">
        <f>IFERROR(Indicadores!B3/Indicadores!B8,"")</f>
        <v/>
      </c>
    </row>
    <row r="10">
      <c r="A10" s="4" t="inlineStr">
        <is>
          <t>% Defeitos Críticos</t>
        </is>
      </c>
      <c r="B10">
        <f>IFERROR(Indicadores!B6/Indicadores!B3*100,"")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10" max="10"/>
    <col width="12" customWidth="1" min="11" max="11"/>
  </cols>
  <sheetData>
    <row r="1">
      <c r="A1" s="2" t="inlineStr">
        <is>
          <t>Análises Consolidadas</t>
        </is>
      </c>
    </row>
    <row r="2">
      <c r="A2" s="3" t="inlineStr">
        <is>
          <t>Por Severidade</t>
        </is>
      </c>
      <c r="D2" s="3" t="inlineStr">
        <is>
          <t>Consolidado por Projeto</t>
        </is>
      </c>
    </row>
    <row r="3">
      <c r="A3" s="4" t="inlineStr">
        <is>
          <t>Categoria</t>
        </is>
      </c>
      <c r="B3" s="4" t="inlineStr">
        <is>
          <t>Quantidade</t>
        </is>
      </c>
      <c r="D3" s="4" t="inlineStr">
        <is>
          <t>Projeto</t>
        </is>
      </c>
      <c r="E3" s="4" t="inlineStr">
        <is>
          <t>Total</t>
        </is>
      </c>
      <c r="F3" s="4" t="inlineStr">
        <is>
          <t>Abertos</t>
        </is>
      </c>
      <c r="G3" s="4" t="inlineStr">
        <is>
          <t>Fechados</t>
        </is>
      </c>
      <c r="H3" s="4" t="inlineStr">
        <is>
          <t>Críticos</t>
        </is>
      </c>
    </row>
    <row r="4">
      <c r="A4" t="inlineStr">
        <is>
          <t>Crítica</t>
        </is>
      </c>
      <c r="B4">
        <f>COUNTIF(Defeitos!F2:F500,$A4)</f>
        <v/>
      </c>
      <c r="E4">
        <f>IF($D4="","",COUNTIF(Defeitos!C2:C500,$D4))</f>
        <v/>
      </c>
      <c r="F4">
        <f>IF($D4="","",COUNTIFS(Defeitos!C2:C500,$D4,Defeitos!G2:G500,"Aberto"))</f>
        <v/>
      </c>
      <c r="G4">
        <f>IF($D4="","",COUNTIFS(Defeitos!C2:C500,$D4,Defeitos!G2:G500,"Fechado"))</f>
        <v/>
      </c>
      <c r="H4">
        <f>IF($D4="","",COUNTIFS(Defeitos!C2:C500,$D4,Defeitos!F2:F500,"Crítica"))</f>
        <v/>
      </c>
    </row>
    <row r="5">
      <c r="A5" t="inlineStr">
        <is>
          <t>Alta</t>
        </is>
      </c>
      <c r="B5">
        <f>COUNTIF(Defeitos!F2:F500,$A5)</f>
        <v/>
      </c>
      <c r="E5">
        <f>IF($D5="","",COUNTIF(Defeitos!C2:C500,$D5))</f>
        <v/>
      </c>
      <c r="F5">
        <f>IF($D5="","",COUNTIFS(Defeitos!C2:C500,$D5,Defeitos!G2:G500,"Aberto"))</f>
        <v/>
      </c>
      <c r="G5">
        <f>IF($D5="","",COUNTIFS(Defeitos!C2:C500,$D5,Defeitos!G2:G500,"Fechado"))</f>
        <v/>
      </c>
      <c r="H5">
        <f>IF($D5="","",COUNTIFS(Defeitos!C2:C500,$D5,Defeitos!F2:F500,"Crítica"))</f>
        <v/>
      </c>
    </row>
    <row r="6">
      <c r="A6" t="inlineStr">
        <is>
          <t>Média</t>
        </is>
      </c>
      <c r="B6">
        <f>COUNTIF(Defeitos!F2:F500,$A6)</f>
        <v/>
      </c>
      <c r="E6">
        <f>IF($D6="","",COUNTIF(Defeitos!C2:C500,$D6))</f>
        <v/>
      </c>
      <c r="F6">
        <f>IF($D6="","",COUNTIFS(Defeitos!C2:C500,$D6,Defeitos!G2:G500,"Aberto"))</f>
        <v/>
      </c>
      <c r="G6">
        <f>IF($D6="","",COUNTIFS(Defeitos!C2:C500,$D6,Defeitos!G2:G500,"Fechado"))</f>
        <v/>
      </c>
      <c r="H6">
        <f>IF($D6="","",COUNTIFS(Defeitos!C2:C500,$D6,Defeitos!F2:F500,"Crítica"))</f>
        <v/>
      </c>
    </row>
    <row r="7">
      <c r="A7" t="inlineStr">
        <is>
          <t>Baixa</t>
        </is>
      </c>
      <c r="B7">
        <f>COUNTIF(Defeitos!F2:F500,$A7)</f>
        <v/>
      </c>
      <c r="E7">
        <f>IF($D7="","",COUNTIF(Defeitos!C2:C500,$D7))</f>
        <v/>
      </c>
      <c r="F7">
        <f>IF($D7="","",COUNTIFS(Defeitos!C2:C500,$D7,Defeitos!G2:G500,"Aberto"))</f>
        <v/>
      </c>
      <c r="G7">
        <f>IF($D7="","",COUNTIFS(Defeitos!C2:C500,$D7,Defeitos!G2:G500,"Fechado"))</f>
        <v/>
      </c>
      <c r="H7">
        <f>IF($D7="","",COUNTIFS(Defeitos!C2:C500,$D7,Defeitos!F2:F500,"Crítica"))</f>
        <v/>
      </c>
    </row>
    <row r="8">
      <c r="E8">
        <f>IF($D8="","",COUNTIF(Defeitos!C2:C500,$D8))</f>
        <v/>
      </c>
      <c r="F8">
        <f>IF($D8="","",COUNTIFS(Defeitos!C2:C500,$D8,Defeitos!G2:G500,"Aberto"))</f>
        <v/>
      </c>
      <c r="G8">
        <f>IF($D8="","",COUNTIFS(Defeitos!C2:C500,$D8,Defeitos!G2:G500,"Fechado"))</f>
        <v/>
      </c>
      <c r="H8">
        <f>IF($D8="","",COUNTIFS(Defeitos!C2:C500,$D8,Defeitos!F2:F500,"Crítica"))</f>
        <v/>
      </c>
    </row>
    <row r="9">
      <c r="A9" s="3" t="inlineStr">
        <is>
          <t>Por Tipo</t>
        </is>
      </c>
      <c r="E9">
        <f>IF($D9="","",COUNTIF(Defeitos!C2:C500,$D9))</f>
        <v/>
      </c>
      <c r="F9">
        <f>IF($D9="","",COUNTIFS(Defeitos!C2:C500,$D9,Defeitos!G2:G500,"Aberto"))</f>
        <v/>
      </c>
      <c r="G9">
        <f>IF($D9="","",COUNTIFS(Defeitos!C2:C500,$D9,Defeitos!G2:G500,"Fechado"))</f>
        <v/>
      </c>
      <c r="H9">
        <f>IF($D9="","",COUNTIFS(Defeitos!C2:C500,$D9,Defeitos!F2:F500,"Crítica"))</f>
        <v/>
      </c>
      <c r="J9" s="3" t="inlineStr">
        <is>
          <t>Por Módulo</t>
        </is>
      </c>
    </row>
    <row r="10">
      <c r="A10" s="4" t="inlineStr">
        <is>
          <t>Categoria</t>
        </is>
      </c>
      <c r="B10" s="4" t="inlineStr">
        <is>
          <t>Quantidade</t>
        </is>
      </c>
      <c r="E10">
        <f>IF($D10="","",COUNTIF(Defeitos!C2:C500,$D10))</f>
        <v/>
      </c>
      <c r="F10">
        <f>IF($D10="","",COUNTIFS(Defeitos!C2:C500,$D10,Defeitos!G2:G500,"Aberto"))</f>
        <v/>
      </c>
      <c r="G10">
        <f>IF($D10="","",COUNTIFS(Defeitos!C2:C500,$D10,Defeitos!G2:G500,"Fechado"))</f>
        <v/>
      </c>
      <c r="H10">
        <f>IF($D10="","",COUNTIFS(Defeitos!C2:C500,$D10,Defeitos!F2:F500,"Crítica"))</f>
        <v/>
      </c>
      <c r="J10" s="4" t="inlineStr">
        <is>
          <t>Módulo</t>
        </is>
      </c>
      <c r="K10" s="4" t="inlineStr">
        <is>
          <t>Quantidade</t>
        </is>
      </c>
    </row>
    <row r="11">
      <c r="A11" t="inlineStr">
        <is>
          <t>Funcional</t>
        </is>
      </c>
      <c r="B11">
        <f>COUNTIF(Defeitos!E2:E500,$A11)</f>
        <v/>
      </c>
      <c r="E11">
        <f>IF($D11="","",COUNTIF(Defeitos!C2:C500,$D11))</f>
        <v/>
      </c>
      <c r="F11">
        <f>IF($D11="","",COUNTIFS(Defeitos!C2:C500,$D11,Defeitos!G2:G500,"Aberto"))</f>
        <v/>
      </c>
      <c r="G11">
        <f>IF($D11="","",COUNTIFS(Defeitos!C2:C500,$D11,Defeitos!G2:G500,"Fechado"))</f>
        <v/>
      </c>
      <c r="H11">
        <f>IF($D11="","",COUNTIFS(Defeitos!C2:C500,$D11,Defeitos!F2:F500,"Crítica"))</f>
        <v/>
      </c>
      <c r="K11">
        <f>IF($J11="","",COUNTIF(Defeitos!D2:D500,$J11))</f>
        <v/>
      </c>
    </row>
    <row r="12">
      <c r="A12" t="inlineStr">
        <is>
          <t>Interface</t>
        </is>
      </c>
      <c r="B12">
        <f>COUNTIF(Defeitos!E2:E500,$A12)</f>
        <v/>
      </c>
      <c r="E12">
        <f>IF($D12="","",COUNTIF(Defeitos!C2:C500,$D12))</f>
        <v/>
      </c>
      <c r="F12">
        <f>IF($D12="","",COUNTIFS(Defeitos!C2:C500,$D12,Defeitos!G2:G500,"Aberto"))</f>
        <v/>
      </c>
      <c r="G12">
        <f>IF($D12="","",COUNTIFS(Defeitos!C2:C500,$D12,Defeitos!G2:G500,"Fechado"))</f>
        <v/>
      </c>
      <c r="H12">
        <f>IF($D12="","",COUNTIFS(Defeitos!C2:C500,$D12,Defeitos!F2:F500,"Crítica"))</f>
        <v/>
      </c>
      <c r="K12">
        <f>IF($J12="","",COUNTIF(Defeitos!D2:D500,$J12))</f>
        <v/>
      </c>
    </row>
    <row r="13">
      <c r="A13" t="inlineStr">
        <is>
          <t>Desempenho</t>
        </is>
      </c>
      <c r="B13">
        <f>COUNTIF(Defeitos!E2:E500,$A13)</f>
        <v/>
      </c>
      <c r="E13">
        <f>IF($D13="","",COUNTIF(Defeitos!C2:C500,$D13))</f>
        <v/>
      </c>
      <c r="F13">
        <f>IF($D13="","",COUNTIFS(Defeitos!C2:C500,$D13,Defeitos!G2:G500,"Aberto"))</f>
        <v/>
      </c>
      <c r="G13">
        <f>IF($D13="","",COUNTIFS(Defeitos!C2:C500,$D13,Defeitos!G2:G500,"Fechado"))</f>
        <v/>
      </c>
      <c r="H13">
        <f>IF($D13="","",COUNTIFS(Defeitos!C2:C500,$D13,Defeitos!F2:F500,"Crítica"))</f>
        <v/>
      </c>
      <c r="K13">
        <f>IF($J13="","",COUNTIF(Defeitos!D2:D500,$J13))</f>
        <v/>
      </c>
    </row>
    <row r="14">
      <c r="A14" t="inlineStr">
        <is>
          <t>Segurança</t>
        </is>
      </c>
      <c r="B14">
        <f>COUNTIF(Defeitos!E2:E500,$A14)</f>
        <v/>
      </c>
      <c r="E14">
        <f>IF($D14="","",COUNTIF(Defeitos!C2:C500,$D14))</f>
        <v/>
      </c>
      <c r="F14">
        <f>IF($D14="","",COUNTIFS(Defeitos!C2:C500,$D14,Defeitos!G2:G500,"Aberto"))</f>
        <v/>
      </c>
      <c r="G14">
        <f>IF($D14="","",COUNTIFS(Defeitos!C2:C500,$D14,Defeitos!G2:G500,"Fechado"))</f>
        <v/>
      </c>
      <c r="H14">
        <f>IF($D14="","",COUNTIFS(Defeitos!C2:C500,$D14,Defeitos!F2:F500,"Crítica"))</f>
        <v/>
      </c>
      <c r="K14">
        <f>IF($J14="","",COUNTIF(Defeitos!D2:D500,$J14))</f>
        <v/>
      </c>
    </row>
    <row r="15">
      <c r="A15" t="inlineStr">
        <is>
          <t>Usabilidade</t>
        </is>
      </c>
      <c r="B15">
        <f>COUNTIF(Defeitos!E2:E500,$A15)</f>
        <v/>
      </c>
      <c r="E15">
        <f>IF($D15="","",COUNTIF(Defeitos!C2:C500,$D15))</f>
        <v/>
      </c>
      <c r="F15">
        <f>IF($D15="","",COUNTIFS(Defeitos!C2:C500,$D15,Defeitos!G2:G500,"Aberto"))</f>
        <v/>
      </c>
      <c r="G15">
        <f>IF($D15="","",COUNTIFS(Defeitos!C2:C500,$D15,Defeitos!G2:G500,"Fechado"))</f>
        <v/>
      </c>
      <c r="H15">
        <f>IF($D15="","",COUNTIFS(Defeitos!C2:C500,$D15,Defeitos!F2:F500,"Crítica"))</f>
        <v/>
      </c>
      <c r="K15">
        <f>IF($J15="","",COUNTIF(Defeitos!D2:D500,$J15))</f>
        <v/>
      </c>
    </row>
    <row r="16">
      <c r="A16" t="inlineStr">
        <is>
          <t>Compatibilidade</t>
        </is>
      </c>
      <c r="B16">
        <f>COUNTIF(Defeitos!E2:E500,$A16)</f>
        <v/>
      </c>
      <c r="E16">
        <f>IF($D16="","",COUNTIF(Defeitos!C2:C500,$D16))</f>
        <v/>
      </c>
      <c r="F16">
        <f>IF($D16="","",COUNTIFS(Defeitos!C2:C500,$D16,Defeitos!G2:G500,"Aberto"))</f>
        <v/>
      </c>
      <c r="G16">
        <f>IF($D16="","",COUNTIFS(Defeitos!C2:C500,$D16,Defeitos!G2:G500,"Fechado"))</f>
        <v/>
      </c>
      <c r="H16">
        <f>IF($D16="","",COUNTIFS(Defeitos!C2:C500,$D16,Defeitos!F2:F500,"Crítica"))</f>
        <v/>
      </c>
      <c r="K16">
        <f>IF($J16="","",COUNTIF(Defeitos!D2:D500,$J16))</f>
        <v/>
      </c>
    </row>
    <row r="17">
      <c r="A17" t="inlineStr">
        <is>
          <t>Documentação</t>
        </is>
      </c>
      <c r="B17">
        <f>COUNTIF(Defeitos!E2:E500,$A17)</f>
        <v/>
      </c>
      <c r="E17">
        <f>IF($D17="","",COUNTIF(Defeitos!C2:C500,$D17))</f>
        <v/>
      </c>
      <c r="F17">
        <f>IF($D17="","",COUNTIFS(Defeitos!C2:C500,$D17,Defeitos!G2:G500,"Aberto"))</f>
        <v/>
      </c>
      <c r="G17">
        <f>IF($D17="","",COUNTIFS(Defeitos!C2:C500,$D17,Defeitos!G2:G500,"Fechado"))</f>
        <v/>
      </c>
      <c r="H17">
        <f>IF($D17="","",COUNTIFS(Defeitos!C2:C500,$D17,Defeitos!F2:F500,"Crítica"))</f>
        <v/>
      </c>
      <c r="K17">
        <f>IF($J17="","",COUNTIF(Defeitos!D2:D500,$J17))</f>
        <v/>
      </c>
    </row>
    <row r="18">
      <c r="A18" t="inlineStr">
        <is>
          <t>Dados</t>
        </is>
      </c>
      <c r="B18">
        <f>COUNTIF(Defeitos!E2:E500,$A18)</f>
        <v/>
      </c>
      <c r="E18">
        <f>IF($D18="","",COUNTIF(Defeitos!C2:C500,$D18))</f>
        <v/>
      </c>
      <c r="F18">
        <f>IF($D18="","",COUNTIFS(Defeitos!C2:C500,$D18,Defeitos!G2:G500,"Aberto"))</f>
        <v/>
      </c>
      <c r="G18">
        <f>IF($D18="","",COUNTIFS(Defeitos!C2:C500,$D18,Defeitos!G2:G500,"Fechado"))</f>
        <v/>
      </c>
      <c r="H18">
        <f>IF($D18="","",COUNTIFS(Defeitos!C2:C500,$D18,Defeitos!F2:F500,"Crítica"))</f>
        <v/>
      </c>
      <c r="K18">
        <f>IF($J18="","",COUNTIF(Defeitos!D2:D500,$J18))</f>
        <v/>
      </c>
    </row>
    <row r="19">
      <c r="A19" t="inlineStr">
        <is>
          <t>Infraestrutura</t>
        </is>
      </c>
      <c r="B19">
        <f>COUNTIF(Defeitos!E2:E500,$A19)</f>
        <v/>
      </c>
      <c r="K19">
        <f>IF($J19="","",COUNTIF(Defeitos!D2:D500,$J19))</f>
        <v/>
      </c>
    </row>
    <row r="20">
      <c r="A20" t="inlineStr">
        <is>
          <t>Outro</t>
        </is>
      </c>
      <c r="B20">
        <f>COUNTIF(Defeitos!E2:E500,$A20)</f>
        <v/>
      </c>
      <c r="K20">
        <f>IF($J20="","",COUNTIF(Defeitos!D2:D500,$J20))</f>
        <v/>
      </c>
    </row>
    <row r="21">
      <c r="K21">
        <f>IF($J21="","",COUNTIF(Defeitos!D2:D500,$J21))</f>
        <v/>
      </c>
    </row>
    <row r="22">
      <c r="K22">
        <f>IF($J22="","",COUNTIF(Defeitos!D2:D500,$J22))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Painel Consolidado de Defeitos</t>
        </is>
      </c>
    </row>
    <row r="3">
      <c r="A3" s="3" t="inlineStr">
        <is>
          <t>Indicadores (KPIs)</t>
        </is>
      </c>
      <c r="D3" s="3" t="inlineStr">
        <is>
          <t>Evolução Temporal (Identificados)</t>
        </is>
      </c>
    </row>
    <row r="4">
      <c r="A4" s="4" t="inlineStr">
        <is>
          <t>Total de Defeitos</t>
        </is>
      </c>
      <c r="B4">
        <f>Indicadores!B3</f>
        <v/>
      </c>
      <c r="D4" s="4" t="inlineStr">
        <is>
          <t>Mês</t>
        </is>
      </c>
      <c r="E4" s="4" t="inlineStr">
        <is>
          <t>Quantidade</t>
        </is>
      </c>
    </row>
    <row r="5">
      <c r="A5" s="4" t="inlineStr">
        <is>
          <t>Defeitos Críticos</t>
        </is>
      </c>
      <c r="B5">
        <f>Indicadores!B6</f>
        <v/>
      </c>
      <c r="D5" t="inlineStr">
        <is>
          <t>2026-01</t>
        </is>
      </c>
      <c r="E5">
        <f>COUNTIFS(Defeitos!$B$2:$B$500,"&gt;="&amp;DATE(2026,1,1),Defeitos!$B$2:$B$500,"&lt;="&amp;DATE(2026,1,DAY(EOMONTH(DATE(2026,1,1),0))))</f>
        <v/>
      </c>
    </row>
    <row r="6">
      <c r="A6" s="4" t="inlineStr">
        <is>
          <t>Densidade de Defeitos (def/KLOC)</t>
        </is>
      </c>
      <c r="B6">
        <f>Indicadores!B9</f>
        <v/>
      </c>
      <c r="D6" t="inlineStr">
        <is>
          <t>2026-02</t>
        </is>
      </c>
      <c r="E6">
        <f>COUNTIFS(Defeitos!$B$2:$B$500,"&gt;="&amp;DATE(2026,2,1),Defeitos!$B$2:$B$500,"&lt;="&amp;DATE(2026,2,DAY(EOMONTH(DATE(2026,2,1),0))))</f>
        <v/>
      </c>
    </row>
    <row r="7">
      <c r="A7" s="4" t="inlineStr">
        <is>
          <t>% Defeitos Críticos</t>
        </is>
      </c>
      <c r="B7">
        <f>Indicadores!B10</f>
        <v/>
      </c>
      <c r="D7" t="inlineStr">
        <is>
          <t>2026-03</t>
        </is>
      </c>
      <c r="E7">
        <f>COUNTIFS(Defeitos!$B$2:$B$500,"&gt;="&amp;DATE(2026,3,1),Defeitos!$B$2:$B$500,"&lt;="&amp;DATE(2026,3,DAY(EOMONTH(DATE(2026,3,1),0))))</f>
        <v/>
      </c>
    </row>
    <row r="8">
      <c r="D8" t="inlineStr">
        <is>
          <t>2026-04</t>
        </is>
      </c>
      <c r="E8">
        <f>COUNTIFS(Defeitos!$B$2:$B$500,"&gt;="&amp;DATE(2026,4,1),Defeitos!$B$2:$B$500,"&lt;="&amp;DATE(2026,4,DAY(EOMONTH(DATE(2026,4,1),0))))</f>
        <v/>
      </c>
    </row>
    <row r="9">
      <c r="D9" t="inlineStr">
        <is>
          <t>2026-05</t>
        </is>
      </c>
      <c r="E9">
        <f>COUNTIFS(Defeitos!$B$2:$B$500,"&gt;="&amp;DATE(2026,5,1),Defeitos!$B$2:$B$500,"&lt;="&amp;DATE(2026,5,DAY(EOMONTH(DATE(2026,5,1),0))))</f>
        <v/>
      </c>
    </row>
    <row r="10">
      <c r="D10" t="inlineStr">
        <is>
          <t>2026-06</t>
        </is>
      </c>
      <c r="E10">
        <f>COUNTIFS(Defeitos!$B$2:$B$500,"&gt;="&amp;DATE(2026,6,1),Defeitos!$B$2:$B$500,"&lt;="&amp;DATE(2026,6,DAY(EOMONTH(DATE(2026,6,1),0))))</f>
        <v/>
      </c>
    </row>
    <row r="11">
      <c r="D11" t="inlineStr">
        <is>
          <t>2026-07</t>
        </is>
      </c>
      <c r="E11">
        <f>COUNTIFS(Defeitos!$B$2:$B$500,"&gt;="&amp;DATE(2026,7,1),Defeitos!$B$2:$B$500,"&lt;="&amp;DATE(2026,7,DAY(EOMONTH(DATE(2026,7,1),0))))</f>
        <v/>
      </c>
    </row>
    <row r="12">
      <c r="D12" t="inlineStr">
        <is>
          <t>2026-08</t>
        </is>
      </c>
      <c r="E12">
        <f>COUNTIFS(Defeitos!$B$2:$B$500,"&gt;="&amp;DATE(2026,8,1),Defeitos!$B$2:$B$500,"&lt;="&amp;DATE(2026,8,DAY(EOMONTH(DATE(2026,8,1),0))))</f>
        <v/>
      </c>
    </row>
    <row r="13">
      <c r="D13" t="inlineStr">
        <is>
          <t>2026-09</t>
        </is>
      </c>
      <c r="E13">
        <f>COUNTIFS(Defeitos!$B$2:$B$500,"&gt;="&amp;DATE(2026,9,1),Defeitos!$B$2:$B$500,"&lt;="&amp;DATE(2026,9,DAY(EOMONTH(DATE(2026,9,1),0))))</f>
        <v/>
      </c>
    </row>
    <row r="14">
      <c r="D14" t="inlineStr">
        <is>
          <t>2026-10</t>
        </is>
      </c>
      <c r="E14">
        <f>COUNTIFS(Defeitos!$B$2:$B$500,"&gt;="&amp;DATE(2026,10,1),Defeitos!$B$2:$B$500,"&lt;="&amp;DATE(2026,10,DAY(EOMONTH(DATE(2026,10,1),0))))</f>
        <v/>
      </c>
    </row>
    <row r="15">
      <c r="D15" t="inlineStr">
        <is>
          <t>2026-11</t>
        </is>
      </c>
      <c r="E15">
        <f>COUNTIFS(Defeitos!$B$2:$B$500,"&gt;="&amp;DATE(2026,11,1),Defeitos!$B$2:$B$500,"&lt;="&amp;DATE(2026,11,DAY(EOMONTH(DATE(2026,11,1),0))))</f>
        <v/>
      </c>
    </row>
    <row r="16">
      <c r="D16" t="inlineStr">
        <is>
          <t>2026-12</t>
        </is>
      </c>
      <c r="E16">
        <f>COUNTIFS(Defeitos!$B$2:$B$500,"&gt;="&amp;DATE(2026,12,1),Defeitos!$B$2:$B$500,"&lt;="&amp;DATE(2026,12,DAY(EOMONTH(DATE(2026,12,1),0))))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Severidade</t>
        </is>
      </c>
      <c r="B1" s="6" t="inlineStr">
        <is>
          <t>Status</t>
        </is>
      </c>
      <c r="C1" s="6" t="inlineStr">
        <is>
          <t>Tipo de Defeito</t>
        </is>
      </c>
      <c r="D1" s="6" t="inlineStr">
        <is>
          <t>Fase</t>
        </is>
      </c>
    </row>
    <row r="2">
      <c r="A2" t="inlineStr">
        <is>
          <t>Crítica</t>
        </is>
      </c>
      <c r="B2" t="inlineStr">
        <is>
          <t>Aberto</t>
        </is>
      </c>
      <c r="C2" t="inlineStr">
        <is>
          <t>Funcional</t>
        </is>
      </c>
      <c r="D2" t="inlineStr">
        <is>
          <t>Requisitos</t>
        </is>
      </c>
    </row>
    <row r="3">
      <c r="A3" t="inlineStr">
        <is>
          <t>Alta</t>
        </is>
      </c>
      <c r="B3" t="inlineStr">
        <is>
          <t>Em Análise</t>
        </is>
      </c>
      <c r="C3" t="inlineStr">
        <is>
          <t>Interface</t>
        </is>
      </c>
      <c r="D3" t="inlineStr">
        <is>
          <t>Design</t>
        </is>
      </c>
    </row>
    <row r="4">
      <c r="A4" t="inlineStr">
        <is>
          <t>Média</t>
        </is>
      </c>
      <c r="B4" t="inlineStr">
        <is>
          <t>Em Correção</t>
        </is>
      </c>
      <c r="C4" t="inlineStr">
        <is>
          <t>Desempenho</t>
        </is>
      </c>
      <c r="D4" t="inlineStr">
        <is>
          <t>Codificação</t>
        </is>
      </c>
    </row>
    <row r="5">
      <c r="A5" t="inlineStr">
        <is>
          <t>Baixa</t>
        </is>
      </c>
      <c r="B5" t="inlineStr">
        <is>
          <t>Em Reteste</t>
        </is>
      </c>
      <c r="C5" t="inlineStr">
        <is>
          <t>Segurança</t>
        </is>
      </c>
      <c r="D5" t="inlineStr">
        <is>
          <t>Integração</t>
        </is>
      </c>
    </row>
    <row r="6">
      <c r="B6" t="inlineStr">
        <is>
          <t>Fechado</t>
        </is>
      </c>
      <c r="C6" t="inlineStr">
        <is>
          <t>Usabilidade</t>
        </is>
      </c>
      <c r="D6" t="inlineStr">
        <is>
          <t>Teste</t>
        </is>
      </c>
    </row>
    <row r="7">
      <c r="B7" t="inlineStr">
        <is>
          <t>Cancelado</t>
        </is>
      </c>
      <c r="C7" t="inlineStr">
        <is>
          <t>Compatibilidade</t>
        </is>
      </c>
      <c r="D7" t="inlineStr">
        <is>
          <t>Implantação</t>
        </is>
      </c>
    </row>
    <row r="8">
      <c r="C8" t="inlineStr">
        <is>
          <t>Documentação</t>
        </is>
      </c>
      <c r="D8" t="inlineStr">
        <is>
          <t>Produção</t>
        </is>
      </c>
    </row>
    <row r="9">
      <c r="C9" t="inlineStr">
        <is>
          <t>Dados</t>
        </is>
      </c>
    </row>
    <row r="10">
      <c r="C10" t="inlineStr">
        <is>
          <t>Infraestrutura</t>
        </is>
      </c>
    </row>
    <row r="11">
      <c r="C11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2026-06-06T17:13:59Z</dcterms:created>
  <dcterms:modified xsi:type="dcterms:W3CDTF">2026-06-06T17:13:59Z</dcterms:modified>
</cp:coreProperties>
</file>