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Indicadores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'Registros'!$A$1:$O$1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Tipo de Atividade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'Analises'!B4</f>
            </strRef>
          </tx>
          <spPr>
            <a:ln>
              <a:prstDash val="solid"/>
            </a:ln>
          </spPr>
          <cat>
            <numRef>
              <f>'Analises'!$A$5:$A$11</f>
            </numRef>
          </cat>
          <val>
            <numRef>
              <f>'Analises'!$B$5:$B$11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'Analises'!B14</f>
            </strRef>
          </tx>
          <spPr>
            <a:ln>
              <a:prstDash val="solid"/>
            </a:ln>
          </spPr>
          <cat>
            <numRef>
              <f>'Analises'!$A$15:$A$24</f>
            </numRef>
          </cat>
          <val>
            <numRef>
              <f>'Analises'!$B$15:$B$24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Planejado vs Realizado (Mensal)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'Dashboards'!$E$5:$E$16</f>
            </numRef>
          </val>
        </ser>
        <ser>
          <idx val="1"/>
          <order val="1"/>
          <tx>
            <strRef>
              <f>'Dashboards'!F4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Temporal das Horas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Tipo de Atividade</a:t>
            </a:r>
          </a:p>
        </rich>
      </tx>
    </title>
    <plotArea>
      <pieChart>
        <varyColors val="1"/>
        <ser>
          <idx val="0"/>
          <order val="0"/>
          <tx>
            <strRef>
              <f>'Analises'!B4</f>
            </strRef>
          </tx>
          <spPr>
            <a:ln>
              <a:prstDash val="solid"/>
            </a:ln>
          </spPr>
          <cat>
            <numRef>
              <f>'Analises'!$A$5:$A$11</f>
            </numRef>
          </cat>
          <val>
            <numRef>
              <f>'Analises'!$B$5:$B$11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10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7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7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8" customWidth="1" min="13" max="13"/>
    <col width="13" customWidth="1" min="14" max="14"/>
    <col width="13" customWidth="1" min="15" max="15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Equipe</t>
        </is>
      </c>
      <c r="D1" s="1" t="inlineStr">
        <is>
          <t>Sprint / Iteração</t>
        </is>
      </c>
      <c r="E1" s="1" t="inlineStr">
        <is>
          <t>Data</t>
        </is>
      </c>
      <c r="F1" s="1" t="inlineStr">
        <is>
          <t>Atividade</t>
        </is>
      </c>
      <c r="G1" s="1" t="inlineStr">
        <is>
          <t>Tipo</t>
        </is>
      </c>
      <c r="H1" s="1" t="inlineStr">
        <is>
          <t>Responsável</t>
        </is>
      </c>
      <c r="I1" s="1" t="inlineStr">
        <is>
          <t>Hora Início</t>
        </is>
      </c>
      <c r="J1" s="1" t="inlineStr">
        <is>
          <t>Hora Fim</t>
        </is>
      </c>
      <c r="K1" s="1" t="inlineStr">
        <is>
          <t>Duração</t>
        </is>
      </c>
      <c r="L1" s="1" t="inlineStr">
        <is>
          <t>Horas Planejadas</t>
        </is>
      </c>
      <c r="M1" s="1" t="inlineStr">
        <is>
          <t>Horas Realizadas</t>
        </is>
      </c>
      <c r="N1" s="1" t="inlineStr">
        <is>
          <t>Status</t>
        </is>
      </c>
      <c r="O1" s="1" t="inlineStr">
        <is>
          <t>Observações</t>
        </is>
      </c>
    </row>
    <row r="2">
      <c r="K2">
        <f>IF(AND(I2&lt;&gt;"",J2&lt;&gt;""),(J2-I2)*24,"")</f>
        <v/>
      </c>
    </row>
    <row r="3">
      <c r="K3">
        <f>IF(AND(I3&lt;&gt;"",J3&lt;&gt;""),(J3-I3)*24,"")</f>
        <v/>
      </c>
    </row>
    <row r="4">
      <c r="K4">
        <f>IF(AND(I4&lt;&gt;"",J4&lt;&gt;""),(J4-I4)*24,"")</f>
        <v/>
      </c>
    </row>
    <row r="5">
      <c r="K5">
        <f>IF(AND(I5&lt;&gt;"",J5&lt;&gt;""),(J5-I5)*24,"")</f>
        <v/>
      </c>
    </row>
    <row r="6">
      <c r="K6">
        <f>IF(AND(I6&lt;&gt;"",J6&lt;&gt;""),(J6-I6)*24,"")</f>
        <v/>
      </c>
    </row>
    <row r="7">
      <c r="K7">
        <f>IF(AND(I7&lt;&gt;"",J7&lt;&gt;""),(J7-I7)*24,"")</f>
        <v/>
      </c>
    </row>
    <row r="8">
      <c r="K8">
        <f>IF(AND(I8&lt;&gt;"",J8&lt;&gt;""),(J8-I8)*24,"")</f>
        <v/>
      </c>
    </row>
    <row r="9">
      <c r="K9">
        <f>IF(AND(I9&lt;&gt;"",J9&lt;&gt;""),(J9-I9)*24,"")</f>
        <v/>
      </c>
    </row>
    <row r="10">
      <c r="K10">
        <f>IF(AND(I10&lt;&gt;"",J10&lt;&gt;""),(J10-I10)*24,"")</f>
        <v/>
      </c>
    </row>
    <row r="11">
      <c r="K11">
        <f>IF(AND(I11&lt;&gt;"",J11&lt;&gt;""),(J11-I11)*24,"")</f>
        <v/>
      </c>
    </row>
    <row r="12">
      <c r="K12">
        <f>IF(AND(I12&lt;&gt;"",J12&lt;&gt;""),(J12-I12)*24,"")</f>
        <v/>
      </c>
    </row>
    <row r="13">
      <c r="K13">
        <f>IF(AND(I13&lt;&gt;"",J13&lt;&gt;""),(J13-I13)*24,"")</f>
        <v/>
      </c>
    </row>
    <row r="14">
      <c r="K14">
        <f>IF(AND(I14&lt;&gt;"",J14&lt;&gt;""),(J14-I14)*24,"")</f>
        <v/>
      </c>
    </row>
    <row r="15">
      <c r="K15">
        <f>IF(AND(I15&lt;&gt;"",J15&lt;&gt;""),(J15-I15)*24,"")</f>
        <v/>
      </c>
    </row>
    <row r="16">
      <c r="K16">
        <f>IF(AND(I16&lt;&gt;"",J16&lt;&gt;""),(J16-I16)*24,"")</f>
        <v/>
      </c>
    </row>
    <row r="17">
      <c r="K17">
        <f>IF(AND(I17&lt;&gt;"",J17&lt;&gt;""),(J17-I17)*24,"")</f>
        <v/>
      </c>
    </row>
    <row r="18">
      <c r="K18">
        <f>IF(AND(I18&lt;&gt;"",J18&lt;&gt;""),(J18-I18)*24,"")</f>
        <v/>
      </c>
    </row>
    <row r="19">
      <c r="K19">
        <f>IF(AND(I19&lt;&gt;"",J19&lt;&gt;""),(J19-I19)*24,"")</f>
        <v/>
      </c>
    </row>
    <row r="20">
      <c r="K20">
        <f>IF(AND(I20&lt;&gt;"",J20&lt;&gt;""),(J20-I20)*24,"")</f>
        <v/>
      </c>
    </row>
    <row r="21">
      <c r="K21">
        <f>IF(AND(I21&lt;&gt;"",J21&lt;&gt;""),(J21-I21)*24,"")</f>
        <v/>
      </c>
    </row>
    <row r="22">
      <c r="K22">
        <f>IF(AND(I22&lt;&gt;"",J22&lt;&gt;""),(J22-I22)*24,"")</f>
        <v/>
      </c>
    </row>
    <row r="23">
      <c r="K23">
        <f>IF(AND(I23&lt;&gt;"",J23&lt;&gt;""),(J23-I23)*24,"")</f>
        <v/>
      </c>
    </row>
    <row r="24">
      <c r="K24">
        <f>IF(AND(I24&lt;&gt;"",J24&lt;&gt;""),(J24-I24)*24,"")</f>
        <v/>
      </c>
    </row>
    <row r="25">
      <c r="K25">
        <f>IF(AND(I25&lt;&gt;"",J25&lt;&gt;""),(J25-I25)*24,"")</f>
        <v/>
      </c>
    </row>
    <row r="26">
      <c r="K26">
        <f>IF(AND(I26&lt;&gt;"",J26&lt;&gt;""),(J26-I26)*24,"")</f>
        <v/>
      </c>
    </row>
    <row r="27">
      <c r="K27">
        <f>IF(AND(I27&lt;&gt;"",J27&lt;&gt;""),(J27-I27)*24,"")</f>
        <v/>
      </c>
    </row>
    <row r="28">
      <c r="K28">
        <f>IF(AND(I28&lt;&gt;"",J28&lt;&gt;""),(J28-I28)*24,"")</f>
        <v/>
      </c>
    </row>
    <row r="29">
      <c r="K29">
        <f>IF(AND(I29&lt;&gt;"",J29&lt;&gt;""),(J29-I29)*24,"")</f>
        <v/>
      </c>
    </row>
    <row r="30">
      <c r="K30">
        <f>IF(AND(I30&lt;&gt;"",J30&lt;&gt;""),(J30-I30)*24,"")</f>
        <v/>
      </c>
    </row>
    <row r="31">
      <c r="K31">
        <f>IF(AND(I31&lt;&gt;"",J31&lt;&gt;""),(J31-I31)*24,"")</f>
        <v/>
      </c>
    </row>
    <row r="32">
      <c r="K32">
        <f>IF(AND(I32&lt;&gt;"",J32&lt;&gt;""),(J32-I32)*24,"")</f>
        <v/>
      </c>
    </row>
    <row r="33">
      <c r="K33">
        <f>IF(AND(I33&lt;&gt;"",J33&lt;&gt;""),(J33-I33)*24,"")</f>
        <v/>
      </c>
    </row>
    <row r="34">
      <c r="K34">
        <f>IF(AND(I34&lt;&gt;"",J34&lt;&gt;""),(J34-I34)*24,"")</f>
        <v/>
      </c>
    </row>
    <row r="35">
      <c r="K35">
        <f>IF(AND(I35&lt;&gt;"",J35&lt;&gt;""),(J35-I35)*24,"")</f>
        <v/>
      </c>
    </row>
    <row r="36">
      <c r="K36">
        <f>IF(AND(I36&lt;&gt;"",J36&lt;&gt;""),(J36-I36)*24,"")</f>
        <v/>
      </c>
    </row>
    <row r="37">
      <c r="K37">
        <f>IF(AND(I37&lt;&gt;"",J37&lt;&gt;""),(J37-I37)*24,"")</f>
        <v/>
      </c>
    </row>
    <row r="38">
      <c r="K38">
        <f>IF(AND(I38&lt;&gt;"",J38&lt;&gt;""),(J38-I38)*24,"")</f>
        <v/>
      </c>
    </row>
    <row r="39">
      <c r="K39">
        <f>IF(AND(I39&lt;&gt;"",J39&lt;&gt;""),(J39-I39)*24,"")</f>
        <v/>
      </c>
    </row>
    <row r="40">
      <c r="K40">
        <f>IF(AND(I40&lt;&gt;"",J40&lt;&gt;""),(J40-I40)*24,"")</f>
        <v/>
      </c>
    </row>
    <row r="41">
      <c r="K41">
        <f>IF(AND(I41&lt;&gt;"",J41&lt;&gt;""),(J41-I41)*24,"")</f>
        <v/>
      </c>
    </row>
    <row r="42">
      <c r="K42">
        <f>IF(AND(I42&lt;&gt;"",J42&lt;&gt;""),(J42-I42)*24,"")</f>
        <v/>
      </c>
    </row>
    <row r="43">
      <c r="K43">
        <f>IF(AND(I43&lt;&gt;"",J43&lt;&gt;""),(J43-I43)*24,"")</f>
        <v/>
      </c>
    </row>
    <row r="44">
      <c r="K44">
        <f>IF(AND(I44&lt;&gt;"",J44&lt;&gt;""),(J44-I44)*24,"")</f>
        <v/>
      </c>
    </row>
    <row r="45">
      <c r="K45">
        <f>IF(AND(I45&lt;&gt;"",J45&lt;&gt;""),(J45-I45)*24,"")</f>
        <v/>
      </c>
    </row>
    <row r="46">
      <c r="K46">
        <f>IF(AND(I46&lt;&gt;"",J46&lt;&gt;""),(J46-I46)*24,"")</f>
        <v/>
      </c>
    </row>
    <row r="47">
      <c r="K47">
        <f>IF(AND(I47&lt;&gt;"",J47&lt;&gt;""),(J47-I47)*24,"")</f>
        <v/>
      </c>
    </row>
    <row r="48">
      <c r="K48">
        <f>IF(AND(I48&lt;&gt;"",J48&lt;&gt;""),(J48-I48)*24,"")</f>
        <v/>
      </c>
    </row>
    <row r="49">
      <c r="K49">
        <f>IF(AND(I49&lt;&gt;"",J49&lt;&gt;""),(J49-I49)*24,"")</f>
        <v/>
      </c>
    </row>
    <row r="50">
      <c r="K50">
        <f>IF(AND(I50&lt;&gt;"",J50&lt;&gt;""),(J50-I50)*24,"")</f>
        <v/>
      </c>
    </row>
    <row r="51">
      <c r="K51">
        <f>IF(AND(I51&lt;&gt;"",J51&lt;&gt;""),(J51-I51)*24,"")</f>
        <v/>
      </c>
    </row>
    <row r="52">
      <c r="K52">
        <f>IF(AND(I52&lt;&gt;"",J52&lt;&gt;""),(J52-I52)*24,"")</f>
        <v/>
      </c>
    </row>
    <row r="53">
      <c r="K53">
        <f>IF(AND(I53&lt;&gt;"",J53&lt;&gt;""),(J53-I53)*24,"")</f>
        <v/>
      </c>
    </row>
    <row r="54">
      <c r="K54">
        <f>IF(AND(I54&lt;&gt;"",J54&lt;&gt;""),(J54-I54)*24,"")</f>
        <v/>
      </c>
    </row>
    <row r="55">
      <c r="K55">
        <f>IF(AND(I55&lt;&gt;"",J55&lt;&gt;""),(J55-I55)*24,"")</f>
        <v/>
      </c>
    </row>
    <row r="56">
      <c r="K56">
        <f>IF(AND(I56&lt;&gt;"",J56&lt;&gt;""),(J56-I56)*24,"")</f>
        <v/>
      </c>
    </row>
    <row r="57">
      <c r="K57">
        <f>IF(AND(I57&lt;&gt;"",J57&lt;&gt;""),(J57-I57)*24,"")</f>
        <v/>
      </c>
    </row>
    <row r="58">
      <c r="K58">
        <f>IF(AND(I58&lt;&gt;"",J58&lt;&gt;""),(J58-I58)*24,"")</f>
        <v/>
      </c>
    </row>
    <row r="59">
      <c r="K59">
        <f>IF(AND(I59&lt;&gt;"",J59&lt;&gt;""),(J59-I59)*24,"")</f>
        <v/>
      </c>
    </row>
    <row r="60">
      <c r="K60">
        <f>IF(AND(I60&lt;&gt;"",J60&lt;&gt;""),(J60-I60)*24,"")</f>
        <v/>
      </c>
    </row>
    <row r="61">
      <c r="K61">
        <f>IF(AND(I61&lt;&gt;"",J61&lt;&gt;""),(J61-I61)*24,"")</f>
        <v/>
      </c>
    </row>
    <row r="62">
      <c r="K62">
        <f>IF(AND(I62&lt;&gt;"",J62&lt;&gt;""),(J62-I62)*24,"")</f>
        <v/>
      </c>
    </row>
    <row r="63">
      <c r="K63">
        <f>IF(AND(I63&lt;&gt;"",J63&lt;&gt;""),(J63-I63)*24,"")</f>
        <v/>
      </c>
    </row>
    <row r="64">
      <c r="K64">
        <f>IF(AND(I64&lt;&gt;"",J64&lt;&gt;""),(J64-I64)*24,"")</f>
        <v/>
      </c>
    </row>
    <row r="65">
      <c r="K65">
        <f>IF(AND(I65&lt;&gt;"",J65&lt;&gt;""),(J65-I65)*24,"")</f>
        <v/>
      </c>
    </row>
    <row r="66">
      <c r="K66">
        <f>IF(AND(I66&lt;&gt;"",J66&lt;&gt;""),(J66-I66)*24,"")</f>
        <v/>
      </c>
    </row>
    <row r="67">
      <c r="K67">
        <f>IF(AND(I67&lt;&gt;"",J67&lt;&gt;""),(J67-I67)*24,"")</f>
        <v/>
      </c>
    </row>
    <row r="68">
      <c r="K68">
        <f>IF(AND(I68&lt;&gt;"",J68&lt;&gt;""),(J68-I68)*24,"")</f>
        <v/>
      </c>
    </row>
    <row r="69">
      <c r="K69">
        <f>IF(AND(I69&lt;&gt;"",J69&lt;&gt;""),(J69-I69)*24,"")</f>
        <v/>
      </c>
    </row>
    <row r="70">
      <c r="K70">
        <f>IF(AND(I70&lt;&gt;"",J70&lt;&gt;""),(J70-I70)*24,"")</f>
        <v/>
      </c>
    </row>
    <row r="71">
      <c r="K71">
        <f>IF(AND(I71&lt;&gt;"",J71&lt;&gt;""),(J71-I71)*24,"")</f>
        <v/>
      </c>
    </row>
    <row r="72">
      <c r="K72">
        <f>IF(AND(I72&lt;&gt;"",J72&lt;&gt;""),(J72-I72)*24,"")</f>
        <v/>
      </c>
    </row>
    <row r="73">
      <c r="K73">
        <f>IF(AND(I73&lt;&gt;"",J73&lt;&gt;""),(J73-I73)*24,"")</f>
        <v/>
      </c>
    </row>
    <row r="74">
      <c r="K74">
        <f>IF(AND(I74&lt;&gt;"",J74&lt;&gt;""),(J74-I74)*24,"")</f>
        <v/>
      </c>
    </row>
    <row r="75">
      <c r="K75">
        <f>IF(AND(I75&lt;&gt;"",J75&lt;&gt;""),(J75-I75)*24,"")</f>
        <v/>
      </c>
    </row>
    <row r="76">
      <c r="K76">
        <f>IF(AND(I76&lt;&gt;"",J76&lt;&gt;""),(J76-I76)*24,"")</f>
        <v/>
      </c>
    </row>
    <row r="77">
      <c r="K77">
        <f>IF(AND(I77&lt;&gt;"",J77&lt;&gt;""),(J77-I77)*24,"")</f>
        <v/>
      </c>
    </row>
    <row r="78">
      <c r="K78">
        <f>IF(AND(I78&lt;&gt;"",J78&lt;&gt;""),(J78-I78)*24,"")</f>
        <v/>
      </c>
    </row>
    <row r="79">
      <c r="K79">
        <f>IF(AND(I79&lt;&gt;"",J79&lt;&gt;""),(J79-I79)*24,"")</f>
        <v/>
      </c>
    </row>
    <row r="80">
      <c r="K80">
        <f>IF(AND(I80&lt;&gt;"",J80&lt;&gt;""),(J80-I80)*24,"")</f>
        <v/>
      </c>
    </row>
    <row r="81">
      <c r="K81">
        <f>IF(AND(I81&lt;&gt;"",J81&lt;&gt;""),(J81-I81)*24,"")</f>
        <v/>
      </c>
    </row>
    <row r="82">
      <c r="K82">
        <f>IF(AND(I82&lt;&gt;"",J82&lt;&gt;""),(J82-I82)*24,"")</f>
        <v/>
      </c>
    </row>
    <row r="83">
      <c r="K83">
        <f>IF(AND(I83&lt;&gt;"",J83&lt;&gt;""),(J83-I83)*24,"")</f>
        <v/>
      </c>
    </row>
    <row r="84">
      <c r="K84">
        <f>IF(AND(I84&lt;&gt;"",J84&lt;&gt;""),(J84-I84)*24,"")</f>
        <v/>
      </c>
    </row>
    <row r="85">
      <c r="K85">
        <f>IF(AND(I85&lt;&gt;"",J85&lt;&gt;""),(J85-I85)*24,"")</f>
        <v/>
      </c>
    </row>
    <row r="86">
      <c r="K86">
        <f>IF(AND(I86&lt;&gt;"",J86&lt;&gt;""),(J86-I86)*24,"")</f>
        <v/>
      </c>
    </row>
    <row r="87">
      <c r="K87">
        <f>IF(AND(I87&lt;&gt;"",J87&lt;&gt;""),(J87-I87)*24,"")</f>
        <v/>
      </c>
    </row>
    <row r="88">
      <c r="K88">
        <f>IF(AND(I88&lt;&gt;"",J88&lt;&gt;""),(J88-I88)*24,"")</f>
        <v/>
      </c>
    </row>
    <row r="89">
      <c r="K89">
        <f>IF(AND(I89&lt;&gt;"",J89&lt;&gt;""),(J89-I89)*24,"")</f>
        <v/>
      </c>
    </row>
    <row r="90">
      <c r="K90">
        <f>IF(AND(I90&lt;&gt;"",J90&lt;&gt;""),(J90-I90)*24,"")</f>
        <v/>
      </c>
    </row>
    <row r="91">
      <c r="K91">
        <f>IF(AND(I91&lt;&gt;"",J91&lt;&gt;""),(J91-I91)*24,"")</f>
        <v/>
      </c>
    </row>
    <row r="92">
      <c r="K92">
        <f>IF(AND(I92&lt;&gt;"",J92&lt;&gt;""),(J92-I92)*24,"")</f>
        <v/>
      </c>
    </row>
    <row r="93">
      <c r="K93">
        <f>IF(AND(I93&lt;&gt;"",J93&lt;&gt;""),(J93-I93)*24,"")</f>
        <v/>
      </c>
    </row>
    <row r="94">
      <c r="K94">
        <f>IF(AND(I94&lt;&gt;"",J94&lt;&gt;""),(J94-I94)*24,"")</f>
        <v/>
      </c>
    </row>
    <row r="95">
      <c r="K95">
        <f>IF(AND(I95&lt;&gt;"",J95&lt;&gt;""),(J95-I95)*24,"")</f>
        <v/>
      </c>
    </row>
    <row r="96">
      <c r="K96">
        <f>IF(AND(I96&lt;&gt;"",J96&lt;&gt;""),(J96-I96)*24,"")</f>
        <v/>
      </c>
    </row>
    <row r="97">
      <c r="K97">
        <f>IF(AND(I97&lt;&gt;"",J97&lt;&gt;""),(J97-I97)*24,"")</f>
        <v/>
      </c>
    </row>
    <row r="98">
      <c r="K98">
        <f>IF(AND(I98&lt;&gt;"",J98&lt;&gt;""),(J98-I98)*24,"")</f>
        <v/>
      </c>
    </row>
    <row r="99">
      <c r="K99">
        <f>IF(AND(I99&lt;&gt;"",J99&lt;&gt;""),(J99-I99)*24,"")</f>
        <v/>
      </c>
    </row>
    <row r="100">
      <c r="K100">
        <f>IF(AND(I100&lt;&gt;"",J100&lt;&gt;""),(J100-I100)*24,"")</f>
        <v/>
      </c>
    </row>
    <row r="101">
      <c r="K101">
        <f>IF(AND(I101&lt;&gt;"",J101&lt;&gt;""),(J101-I101)*24,"")</f>
        <v/>
      </c>
    </row>
    <row r="102">
      <c r="K102">
        <f>IF(AND(I102&lt;&gt;"",J102&lt;&gt;""),(J102-I102)*24,"")</f>
        <v/>
      </c>
    </row>
    <row r="103">
      <c r="K103">
        <f>IF(AND(I103&lt;&gt;"",J103&lt;&gt;""),(J103-I103)*24,"")</f>
        <v/>
      </c>
    </row>
    <row r="104">
      <c r="K104">
        <f>IF(AND(I104&lt;&gt;"",J104&lt;&gt;""),(J104-I104)*24,"")</f>
        <v/>
      </c>
    </row>
    <row r="105">
      <c r="K105">
        <f>IF(AND(I105&lt;&gt;"",J105&lt;&gt;""),(J105-I105)*24,"")</f>
        <v/>
      </c>
    </row>
    <row r="106">
      <c r="K106">
        <f>IF(AND(I106&lt;&gt;"",J106&lt;&gt;""),(J106-I106)*24,"")</f>
        <v/>
      </c>
    </row>
    <row r="107">
      <c r="K107">
        <f>IF(AND(I107&lt;&gt;"",J107&lt;&gt;""),(J107-I107)*24,"")</f>
        <v/>
      </c>
    </row>
    <row r="108">
      <c r="K108">
        <f>IF(AND(I108&lt;&gt;"",J108&lt;&gt;""),(J108-I108)*24,"")</f>
        <v/>
      </c>
    </row>
    <row r="109">
      <c r="K109">
        <f>IF(AND(I109&lt;&gt;"",J109&lt;&gt;""),(J109-I109)*24,"")</f>
        <v/>
      </c>
    </row>
    <row r="110">
      <c r="K110">
        <f>IF(AND(I110&lt;&gt;"",J110&lt;&gt;""),(J110-I110)*24,"")</f>
        <v/>
      </c>
    </row>
    <row r="111">
      <c r="K111">
        <f>IF(AND(I111&lt;&gt;"",J111&lt;&gt;""),(J111-I111)*24,"")</f>
        <v/>
      </c>
    </row>
    <row r="112">
      <c r="K112">
        <f>IF(AND(I112&lt;&gt;"",J112&lt;&gt;""),(J112-I112)*24,"")</f>
        <v/>
      </c>
    </row>
    <row r="113">
      <c r="K113">
        <f>IF(AND(I113&lt;&gt;"",J113&lt;&gt;""),(J113-I113)*24,"")</f>
        <v/>
      </c>
    </row>
    <row r="114">
      <c r="K114">
        <f>IF(AND(I114&lt;&gt;"",J114&lt;&gt;""),(J114-I114)*24,"")</f>
        <v/>
      </c>
    </row>
    <row r="115">
      <c r="K115">
        <f>IF(AND(I115&lt;&gt;"",J115&lt;&gt;""),(J115-I115)*24,"")</f>
        <v/>
      </c>
    </row>
    <row r="116">
      <c r="K116">
        <f>IF(AND(I116&lt;&gt;"",J116&lt;&gt;""),(J116-I116)*24,"")</f>
        <v/>
      </c>
    </row>
    <row r="117">
      <c r="K117">
        <f>IF(AND(I117&lt;&gt;"",J117&lt;&gt;""),(J117-I117)*24,"")</f>
        <v/>
      </c>
    </row>
    <row r="118">
      <c r="K118">
        <f>IF(AND(I118&lt;&gt;"",J118&lt;&gt;""),(J118-I118)*24,"")</f>
        <v/>
      </c>
    </row>
    <row r="119">
      <c r="K119">
        <f>IF(AND(I119&lt;&gt;"",J119&lt;&gt;""),(J119-I119)*24,"")</f>
        <v/>
      </c>
    </row>
    <row r="120">
      <c r="K120">
        <f>IF(AND(I120&lt;&gt;"",J120&lt;&gt;""),(J120-I120)*24,"")</f>
        <v/>
      </c>
    </row>
    <row r="121">
      <c r="K121">
        <f>IF(AND(I121&lt;&gt;"",J121&lt;&gt;""),(J121-I121)*24,"")</f>
        <v/>
      </c>
    </row>
    <row r="122">
      <c r="K122">
        <f>IF(AND(I122&lt;&gt;"",J122&lt;&gt;""),(J122-I122)*24,"")</f>
        <v/>
      </c>
    </row>
    <row r="123">
      <c r="K123">
        <f>IF(AND(I123&lt;&gt;"",J123&lt;&gt;""),(J123-I123)*24,"")</f>
        <v/>
      </c>
    </row>
    <row r="124">
      <c r="K124">
        <f>IF(AND(I124&lt;&gt;"",J124&lt;&gt;""),(J124-I124)*24,"")</f>
        <v/>
      </c>
    </row>
    <row r="125">
      <c r="K125">
        <f>IF(AND(I125&lt;&gt;"",J125&lt;&gt;""),(J125-I125)*24,"")</f>
        <v/>
      </c>
    </row>
    <row r="126">
      <c r="K126">
        <f>IF(AND(I126&lt;&gt;"",J126&lt;&gt;""),(J126-I126)*24,"")</f>
        <v/>
      </c>
    </row>
    <row r="127">
      <c r="K127">
        <f>IF(AND(I127&lt;&gt;"",J127&lt;&gt;""),(J127-I127)*24,"")</f>
        <v/>
      </c>
    </row>
    <row r="128">
      <c r="K128">
        <f>IF(AND(I128&lt;&gt;"",J128&lt;&gt;""),(J128-I128)*24,"")</f>
        <v/>
      </c>
    </row>
    <row r="129">
      <c r="K129">
        <f>IF(AND(I129&lt;&gt;"",J129&lt;&gt;""),(J129-I129)*24,"")</f>
        <v/>
      </c>
    </row>
    <row r="130">
      <c r="K130">
        <f>IF(AND(I130&lt;&gt;"",J130&lt;&gt;""),(J130-I130)*24,"")</f>
        <v/>
      </c>
    </row>
    <row r="131">
      <c r="K131">
        <f>IF(AND(I131&lt;&gt;"",J131&lt;&gt;""),(J131-I131)*24,"")</f>
        <v/>
      </c>
    </row>
    <row r="132">
      <c r="K132">
        <f>IF(AND(I132&lt;&gt;"",J132&lt;&gt;""),(J132-I132)*24,"")</f>
        <v/>
      </c>
    </row>
    <row r="133">
      <c r="K133">
        <f>IF(AND(I133&lt;&gt;"",J133&lt;&gt;""),(J133-I133)*24,"")</f>
        <v/>
      </c>
    </row>
    <row r="134">
      <c r="K134">
        <f>IF(AND(I134&lt;&gt;"",J134&lt;&gt;""),(J134-I134)*24,"")</f>
        <v/>
      </c>
    </row>
    <row r="135">
      <c r="K135">
        <f>IF(AND(I135&lt;&gt;"",J135&lt;&gt;""),(J135-I135)*24,"")</f>
        <v/>
      </c>
    </row>
    <row r="136">
      <c r="K136">
        <f>IF(AND(I136&lt;&gt;"",J136&lt;&gt;""),(J136-I136)*24,"")</f>
        <v/>
      </c>
    </row>
    <row r="137">
      <c r="K137">
        <f>IF(AND(I137&lt;&gt;"",J137&lt;&gt;""),(J137-I137)*24,"")</f>
        <v/>
      </c>
    </row>
    <row r="138">
      <c r="K138">
        <f>IF(AND(I138&lt;&gt;"",J138&lt;&gt;""),(J138-I138)*24,"")</f>
        <v/>
      </c>
    </row>
    <row r="139">
      <c r="K139">
        <f>IF(AND(I139&lt;&gt;"",J139&lt;&gt;""),(J139-I139)*24,"")</f>
        <v/>
      </c>
    </row>
    <row r="140">
      <c r="K140">
        <f>IF(AND(I140&lt;&gt;"",J140&lt;&gt;""),(J140-I140)*24,"")</f>
        <v/>
      </c>
    </row>
    <row r="141">
      <c r="K141">
        <f>IF(AND(I141&lt;&gt;"",J141&lt;&gt;""),(J141-I141)*24,"")</f>
        <v/>
      </c>
    </row>
    <row r="142">
      <c r="K142">
        <f>IF(AND(I142&lt;&gt;"",J142&lt;&gt;""),(J142-I142)*24,"")</f>
        <v/>
      </c>
    </row>
    <row r="143">
      <c r="K143">
        <f>IF(AND(I143&lt;&gt;"",J143&lt;&gt;""),(J143-I143)*24,"")</f>
        <v/>
      </c>
    </row>
    <row r="144">
      <c r="K144">
        <f>IF(AND(I144&lt;&gt;"",J144&lt;&gt;""),(J144-I144)*24,"")</f>
        <v/>
      </c>
    </row>
    <row r="145">
      <c r="K145">
        <f>IF(AND(I145&lt;&gt;"",J145&lt;&gt;""),(J145-I145)*24,"")</f>
        <v/>
      </c>
    </row>
    <row r="146">
      <c r="K146">
        <f>IF(AND(I146&lt;&gt;"",J146&lt;&gt;""),(J146-I146)*24,"")</f>
        <v/>
      </c>
    </row>
    <row r="147">
      <c r="K147">
        <f>IF(AND(I147&lt;&gt;"",J147&lt;&gt;""),(J147-I147)*24,"")</f>
        <v/>
      </c>
    </row>
    <row r="148">
      <c r="K148">
        <f>IF(AND(I148&lt;&gt;"",J148&lt;&gt;""),(J148-I148)*24,"")</f>
        <v/>
      </c>
    </row>
    <row r="149">
      <c r="K149">
        <f>IF(AND(I149&lt;&gt;"",J149&lt;&gt;""),(J149-I149)*24,"")</f>
        <v/>
      </c>
    </row>
    <row r="150">
      <c r="K150">
        <f>IF(AND(I150&lt;&gt;"",J150&lt;&gt;""),(J150-I150)*24,"")</f>
        <v/>
      </c>
    </row>
    <row r="151">
      <c r="K151">
        <f>IF(AND(I151&lt;&gt;"",J151&lt;&gt;""),(J151-I151)*24,"")</f>
        <v/>
      </c>
    </row>
    <row r="152">
      <c r="K152">
        <f>IF(AND(I152&lt;&gt;"",J152&lt;&gt;""),(J152-I152)*24,"")</f>
        <v/>
      </c>
    </row>
    <row r="153">
      <c r="K153">
        <f>IF(AND(I153&lt;&gt;"",J153&lt;&gt;""),(J153-I153)*24,"")</f>
        <v/>
      </c>
    </row>
    <row r="154">
      <c r="K154">
        <f>IF(AND(I154&lt;&gt;"",J154&lt;&gt;""),(J154-I154)*24,"")</f>
        <v/>
      </c>
    </row>
    <row r="155">
      <c r="K155">
        <f>IF(AND(I155&lt;&gt;"",J155&lt;&gt;""),(J155-I155)*24,"")</f>
        <v/>
      </c>
    </row>
    <row r="156">
      <c r="K156">
        <f>IF(AND(I156&lt;&gt;"",J156&lt;&gt;""),(J156-I156)*24,"")</f>
        <v/>
      </c>
    </row>
    <row r="157">
      <c r="K157">
        <f>IF(AND(I157&lt;&gt;"",J157&lt;&gt;""),(J157-I157)*24,"")</f>
        <v/>
      </c>
    </row>
    <row r="158">
      <c r="K158">
        <f>IF(AND(I158&lt;&gt;"",J158&lt;&gt;""),(J158-I158)*24,"")</f>
        <v/>
      </c>
    </row>
    <row r="159">
      <c r="K159">
        <f>IF(AND(I159&lt;&gt;"",J159&lt;&gt;""),(J159-I159)*24,"")</f>
        <v/>
      </c>
    </row>
    <row r="160">
      <c r="K160">
        <f>IF(AND(I160&lt;&gt;"",J160&lt;&gt;""),(J160-I160)*24,"")</f>
        <v/>
      </c>
    </row>
    <row r="161">
      <c r="K161">
        <f>IF(AND(I161&lt;&gt;"",J161&lt;&gt;""),(J161-I161)*24,"")</f>
        <v/>
      </c>
    </row>
    <row r="162">
      <c r="K162">
        <f>IF(AND(I162&lt;&gt;"",J162&lt;&gt;""),(J162-I162)*24,"")</f>
        <v/>
      </c>
    </row>
    <row r="163">
      <c r="K163">
        <f>IF(AND(I163&lt;&gt;"",J163&lt;&gt;""),(J163-I163)*24,"")</f>
        <v/>
      </c>
    </row>
    <row r="164">
      <c r="K164">
        <f>IF(AND(I164&lt;&gt;"",J164&lt;&gt;""),(J164-I164)*24,"")</f>
        <v/>
      </c>
    </row>
    <row r="165">
      <c r="K165">
        <f>IF(AND(I165&lt;&gt;"",J165&lt;&gt;""),(J165-I165)*24,"")</f>
        <v/>
      </c>
    </row>
    <row r="166">
      <c r="K166">
        <f>IF(AND(I166&lt;&gt;"",J166&lt;&gt;""),(J166-I166)*24,"")</f>
        <v/>
      </c>
    </row>
    <row r="167">
      <c r="K167">
        <f>IF(AND(I167&lt;&gt;"",J167&lt;&gt;""),(J167-I167)*24,"")</f>
        <v/>
      </c>
    </row>
    <row r="168">
      <c r="K168">
        <f>IF(AND(I168&lt;&gt;"",J168&lt;&gt;""),(J168-I168)*24,"")</f>
        <v/>
      </c>
    </row>
    <row r="169">
      <c r="K169">
        <f>IF(AND(I169&lt;&gt;"",J169&lt;&gt;""),(J169-I169)*24,"")</f>
        <v/>
      </c>
    </row>
    <row r="170">
      <c r="K170">
        <f>IF(AND(I170&lt;&gt;"",J170&lt;&gt;""),(J170-I170)*24,"")</f>
        <v/>
      </c>
    </row>
    <row r="171">
      <c r="K171">
        <f>IF(AND(I171&lt;&gt;"",J171&lt;&gt;""),(J171-I171)*24,"")</f>
        <v/>
      </c>
    </row>
    <row r="172">
      <c r="K172">
        <f>IF(AND(I172&lt;&gt;"",J172&lt;&gt;""),(J172-I172)*24,"")</f>
        <v/>
      </c>
    </row>
    <row r="173">
      <c r="K173">
        <f>IF(AND(I173&lt;&gt;"",J173&lt;&gt;""),(J173-I173)*24,"")</f>
        <v/>
      </c>
    </row>
    <row r="174">
      <c r="K174">
        <f>IF(AND(I174&lt;&gt;"",J174&lt;&gt;""),(J174-I174)*24,"")</f>
        <v/>
      </c>
    </row>
    <row r="175">
      <c r="K175">
        <f>IF(AND(I175&lt;&gt;"",J175&lt;&gt;""),(J175-I175)*24,"")</f>
        <v/>
      </c>
    </row>
    <row r="176">
      <c r="K176">
        <f>IF(AND(I176&lt;&gt;"",J176&lt;&gt;""),(J176-I176)*24,"")</f>
        <v/>
      </c>
    </row>
    <row r="177">
      <c r="K177">
        <f>IF(AND(I177&lt;&gt;"",J177&lt;&gt;""),(J177-I177)*24,"")</f>
        <v/>
      </c>
    </row>
    <row r="178">
      <c r="K178">
        <f>IF(AND(I178&lt;&gt;"",J178&lt;&gt;""),(J178-I178)*24,"")</f>
        <v/>
      </c>
    </row>
    <row r="179">
      <c r="K179">
        <f>IF(AND(I179&lt;&gt;"",J179&lt;&gt;""),(J179-I179)*24,"")</f>
        <v/>
      </c>
    </row>
    <row r="180">
      <c r="K180">
        <f>IF(AND(I180&lt;&gt;"",J180&lt;&gt;""),(J180-I180)*24,"")</f>
        <v/>
      </c>
    </row>
    <row r="181">
      <c r="K181">
        <f>IF(AND(I181&lt;&gt;"",J181&lt;&gt;""),(J181-I181)*24,"")</f>
        <v/>
      </c>
    </row>
    <row r="182">
      <c r="K182">
        <f>IF(AND(I182&lt;&gt;"",J182&lt;&gt;""),(J182-I182)*24,"")</f>
        <v/>
      </c>
    </row>
    <row r="183">
      <c r="K183">
        <f>IF(AND(I183&lt;&gt;"",J183&lt;&gt;""),(J183-I183)*24,"")</f>
        <v/>
      </c>
    </row>
    <row r="184">
      <c r="K184">
        <f>IF(AND(I184&lt;&gt;"",J184&lt;&gt;""),(J184-I184)*24,"")</f>
        <v/>
      </c>
    </row>
    <row r="185">
      <c r="K185">
        <f>IF(AND(I185&lt;&gt;"",J185&lt;&gt;""),(J185-I185)*24,"")</f>
        <v/>
      </c>
    </row>
    <row r="186">
      <c r="K186">
        <f>IF(AND(I186&lt;&gt;"",J186&lt;&gt;""),(J186-I186)*24,"")</f>
        <v/>
      </c>
    </row>
    <row r="187">
      <c r="K187">
        <f>IF(AND(I187&lt;&gt;"",J187&lt;&gt;""),(J187-I187)*24,"")</f>
        <v/>
      </c>
    </row>
    <row r="188">
      <c r="K188">
        <f>IF(AND(I188&lt;&gt;"",J188&lt;&gt;""),(J188-I188)*24,"")</f>
        <v/>
      </c>
    </row>
    <row r="189">
      <c r="K189">
        <f>IF(AND(I189&lt;&gt;"",J189&lt;&gt;""),(J189-I189)*24,"")</f>
        <v/>
      </c>
    </row>
    <row r="190">
      <c r="K190">
        <f>IF(AND(I190&lt;&gt;"",J190&lt;&gt;""),(J190-I190)*24,"")</f>
        <v/>
      </c>
    </row>
    <row r="191">
      <c r="K191">
        <f>IF(AND(I191&lt;&gt;"",J191&lt;&gt;""),(J191-I191)*24,"")</f>
        <v/>
      </c>
    </row>
    <row r="192">
      <c r="K192">
        <f>IF(AND(I192&lt;&gt;"",J192&lt;&gt;""),(J192-I192)*24,"")</f>
        <v/>
      </c>
    </row>
    <row r="193">
      <c r="K193">
        <f>IF(AND(I193&lt;&gt;"",J193&lt;&gt;""),(J193-I193)*24,"")</f>
        <v/>
      </c>
    </row>
    <row r="194">
      <c r="K194">
        <f>IF(AND(I194&lt;&gt;"",J194&lt;&gt;""),(J194-I194)*24,"")</f>
        <v/>
      </c>
    </row>
    <row r="195">
      <c r="K195">
        <f>IF(AND(I195&lt;&gt;"",J195&lt;&gt;""),(J195-I195)*24,"")</f>
        <v/>
      </c>
    </row>
    <row r="196">
      <c r="K196">
        <f>IF(AND(I196&lt;&gt;"",J196&lt;&gt;""),(J196-I196)*24,"")</f>
        <v/>
      </c>
    </row>
    <row r="197">
      <c r="K197">
        <f>IF(AND(I197&lt;&gt;"",J197&lt;&gt;""),(J197-I197)*24,"")</f>
        <v/>
      </c>
    </row>
    <row r="198">
      <c r="K198">
        <f>IF(AND(I198&lt;&gt;"",J198&lt;&gt;""),(J198-I198)*24,"")</f>
        <v/>
      </c>
    </row>
    <row r="199">
      <c r="K199">
        <f>IF(AND(I199&lt;&gt;"",J199&lt;&gt;""),(J199-I199)*24,"")</f>
        <v/>
      </c>
    </row>
    <row r="200">
      <c r="K200">
        <f>IF(AND(I200&lt;&gt;"",J200&lt;&gt;""),(J200-I200)*24,"")</f>
        <v/>
      </c>
    </row>
    <row r="201">
      <c r="K201">
        <f>IF(AND(I201&lt;&gt;"",J201&lt;&gt;""),(J201-I201)*24,"")</f>
        <v/>
      </c>
    </row>
    <row r="202">
      <c r="K202">
        <f>IF(AND(I202&lt;&gt;"",J202&lt;&gt;""),(J202-I202)*24,"")</f>
        <v/>
      </c>
    </row>
    <row r="203">
      <c r="K203">
        <f>IF(AND(I203&lt;&gt;"",J203&lt;&gt;""),(J203-I203)*24,"")</f>
        <v/>
      </c>
    </row>
    <row r="204">
      <c r="K204">
        <f>IF(AND(I204&lt;&gt;"",J204&lt;&gt;""),(J204-I204)*24,"")</f>
        <v/>
      </c>
    </row>
    <row r="205">
      <c r="K205">
        <f>IF(AND(I205&lt;&gt;"",J205&lt;&gt;""),(J205-I205)*24,"")</f>
        <v/>
      </c>
    </row>
    <row r="206">
      <c r="K206">
        <f>IF(AND(I206&lt;&gt;"",J206&lt;&gt;""),(J206-I206)*24,"")</f>
        <v/>
      </c>
    </row>
    <row r="207">
      <c r="K207">
        <f>IF(AND(I207&lt;&gt;"",J207&lt;&gt;""),(J207-I207)*24,"")</f>
        <v/>
      </c>
    </row>
    <row r="208">
      <c r="K208">
        <f>IF(AND(I208&lt;&gt;"",J208&lt;&gt;""),(J208-I208)*24,"")</f>
        <v/>
      </c>
    </row>
    <row r="209">
      <c r="K209">
        <f>IF(AND(I209&lt;&gt;"",J209&lt;&gt;""),(J209-I209)*24,"")</f>
        <v/>
      </c>
    </row>
    <row r="210">
      <c r="K210">
        <f>IF(AND(I210&lt;&gt;"",J210&lt;&gt;""),(J210-I210)*24,"")</f>
        <v/>
      </c>
    </row>
    <row r="211">
      <c r="K211">
        <f>IF(AND(I211&lt;&gt;"",J211&lt;&gt;""),(J211-I211)*24,"")</f>
        <v/>
      </c>
    </row>
    <row r="212">
      <c r="K212">
        <f>IF(AND(I212&lt;&gt;"",J212&lt;&gt;""),(J212-I212)*24,"")</f>
        <v/>
      </c>
    </row>
    <row r="213">
      <c r="K213">
        <f>IF(AND(I213&lt;&gt;"",J213&lt;&gt;""),(J213-I213)*24,"")</f>
        <v/>
      </c>
    </row>
    <row r="214">
      <c r="K214">
        <f>IF(AND(I214&lt;&gt;"",J214&lt;&gt;""),(J214-I214)*24,"")</f>
        <v/>
      </c>
    </row>
    <row r="215">
      <c r="K215">
        <f>IF(AND(I215&lt;&gt;"",J215&lt;&gt;""),(J215-I215)*24,"")</f>
        <v/>
      </c>
    </row>
    <row r="216">
      <c r="K216">
        <f>IF(AND(I216&lt;&gt;"",J216&lt;&gt;""),(J216-I216)*24,"")</f>
        <v/>
      </c>
    </row>
    <row r="217">
      <c r="K217">
        <f>IF(AND(I217&lt;&gt;"",J217&lt;&gt;""),(J217-I217)*24,"")</f>
        <v/>
      </c>
    </row>
    <row r="218">
      <c r="K218">
        <f>IF(AND(I218&lt;&gt;"",J218&lt;&gt;""),(J218-I218)*24,"")</f>
        <v/>
      </c>
    </row>
    <row r="219">
      <c r="K219">
        <f>IF(AND(I219&lt;&gt;"",J219&lt;&gt;""),(J219-I219)*24,"")</f>
        <v/>
      </c>
    </row>
    <row r="220">
      <c r="K220">
        <f>IF(AND(I220&lt;&gt;"",J220&lt;&gt;""),(J220-I220)*24,"")</f>
        <v/>
      </c>
    </row>
    <row r="221">
      <c r="K221">
        <f>IF(AND(I221&lt;&gt;"",J221&lt;&gt;""),(J221-I221)*24,"")</f>
        <v/>
      </c>
    </row>
    <row r="222">
      <c r="K222">
        <f>IF(AND(I222&lt;&gt;"",J222&lt;&gt;""),(J222-I222)*24,"")</f>
        <v/>
      </c>
    </row>
    <row r="223">
      <c r="K223">
        <f>IF(AND(I223&lt;&gt;"",J223&lt;&gt;""),(J223-I223)*24,"")</f>
        <v/>
      </c>
    </row>
    <row r="224">
      <c r="K224">
        <f>IF(AND(I224&lt;&gt;"",J224&lt;&gt;""),(J224-I224)*24,"")</f>
        <v/>
      </c>
    </row>
    <row r="225">
      <c r="K225">
        <f>IF(AND(I225&lt;&gt;"",J225&lt;&gt;""),(J225-I225)*24,"")</f>
        <v/>
      </c>
    </row>
    <row r="226">
      <c r="K226">
        <f>IF(AND(I226&lt;&gt;"",J226&lt;&gt;""),(J226-I226)*24,"")</f>
        <v/>
      </c>
    </row>
    <row r="227">
      <c r="K227">
        <f>IF(AND(I227&lt;&gt;"",J227&lt;&gt;""),(J227-I227)*24,"")</f>
        <v/>
      </c>
    </row>
    <row r="228">
      <c r="K228">
        <f>IF(AND(I228&lt;&gt;"",J228&lt;&gt;""),(J228-I228)*24,"")</f>
        <v/>
      </c>
    </row>
    <row r="229">
      <c r="K229">
        <f>IF(AND(I229&lt;&gt;"",J229&lt;&gt;""),(J229-I229)*24,"")</f>
        <v/>
      </c>
    </row>
    <row r="230">
      <c r="K230">
        <f>IF(AND(I230&lt;&gt;"",J230&lt;&gt;""),(J230-I230)*24,"")</f>
        <v/>
      </c>
    </row>
    <row r="231">
      <c r="K231">
        <f>IF(AND(I231&lt;&gt;"",J231&lt;&gt;""),(J231-I231)*24,"")</f>
        <v/>
      </c>
    </row>
    <row r="232">
      <c r="K232">
        <f>IF(AND(I232&lt;&gt;"",J232&lt;&gt;""),(J232-I232)*24,"")</f>
        <v/>
      </c>
    </row>
    <row r="233">
      <c r="K233">
        <f>IF(AND(I233&lt;&gt;"",J233&lt;&gt;""),(J233-I233)*24,"")</f>
        <v/>
      </c>
    </row>
    <row r="234">
      <c r="K234">
        <f>IF(AND(I234&lt;&gt;"",J234&lt;&gt;""),(J234-I234)*24,"")</f>
        <v/>
      </c>
    </row>
    <row r="235">
      <c r="K235">
        <f>IF(AND(I235&lt;&gt;"",J235&lt;&gt;""),(J235-I235)*24,"")</f>
        <v/>
      </c>
    </row>
    <row r="236">
      <c r="K236">
        <f>IF(AND(I236&lt;&gt;"",J236&lt;&gt;""),(J236-I236)*24,"")</f>
        <v/>
      </c>
    </row>
    <row r="237">
      <c r="K237">
        <f>IF(AND(I237&lt;&gt;"",J237&lt;&gt;""),(J237-I237)*24,"")</f>
        <v/>
      </c>
    </row>
    <row r="238">
      <c r="K238">
        <f>IF(AND(I238&lt;&gt;"",J238&lt;&gt;""),(J238-I238)*24,"")</f>
        <v/>
      </c>
    </row>
    <row r="239">
      <c r="K239">
        <f>IF(AND(I239&lt;&gt;"",J239&lt;&gt;""),(J239-I239)*24,"")</f>
        <v/>
      </c>
    </row>
    <row r="240">
      <c r="K240">
        <f>IF(AND(I240&lt;&gt;"",J240&lt;&gt;""),(J240-I240)*24,"")</f>
        <v/>
      </c>
    </row>
    <row r="241">
      <c r="K241">
        <f>IF(AND(I241&lt;&gt;"",J241&lt;&gt;""),(J241-I241)*24,"")</f>
        <v/>
      </c>
    </row>
    <row r="242">
      <c r="K242">
        <f>IF(AND(I242&lt;&gt;"",J242&lt;&gt;""),(J242-I242)*24,"")</f>
        <v/>
      </c>
    </row>
    <row r="243">
      <c r="K243">
        <f>IF(AND(I243&lt;&gt;"",J243&lt;&gt;""),(J243-I243)*24,"")</f>
        <v/>
      </c>
    </row>
    <row r="244">
      <c r="K244">
        <f>IF(AND(I244&lt;&gt;"",J244&lt;&gt;""),(J244-I244)*24,"")</f>
        <v/>
      </c>
    </row>
    <row r="245">
      <c r="K245">
        <f>IF(AND(I245&lt;&gt;"",J245&lt;&gt;""),(J245-I245)*24,"")</f>
        <v/>
      </c>
    </row>
    <row r="246">
      <c r="K246">
        <f>IF(AND(I246&lt;&gt;"",J246&lt;&gt;""),(J246-I246)*24,"")</f>
        <v/>
      </c>
    </row>
    <row r="247">
      <c r="K247">
        <f>IF(AND(I247&lt;&gt;"",J247&lt;&gt;""),(J247-I247)*24,"")</f>
        <v/>
      </c>
    </row>
    <row r="248">
      <c r="K248">
        <f>IF(AND(I248&lt;&gt;"",J248&lt;&gt;""),(J248-I248)*24,"")</f>
        <v/>
      </c>
    </row>
    <row r="249">
      <c r="K249">
        <f>IF(AND(I249&lt;&gt;"",J249&lt;&gt;""),(J249-I249)*24,"")</f>
        <v/>
      </c>
    </row>
    <row r="250">
      <c r="K250">
        <f>IF(AND(I250&lt;&gt;"",J250&lt;&gt;""),(J250-I250)*24,"")</f>
        <v/>
      </c>
    </row>
    <row r="251">
      <c r="K251">
        <f>IF(AND(I251&lt;&gt;"",J251&lt;&gt;""),(J251-I251)*24,"")</f>
        <v/>
      </c>
    </row>
    <row r="252">
      <c r="K252">
        <f>IF(AND(I252&lt;&gt;"",J252&lt;&gt;""),(J252-I252)*24,"")</f>
        <v/>
      </c>
    </row>
    <row r="253">
      <c r="K253">
        <f>IF(AND(I253&lt;&gt;"",J253&lt;&gt;""),(J253-I253)*24,"")</f>
        <v/>
      </c>
    </row>
    <row r="254">
      <c r="K254">
        <f>IF(AND(I254&lt;&gt;"",J254&lt;&gt;""),(J254-I254)*24,"")</f>
        <v/>
      </c>
    </row>
    <row r="255">
      <c r="K255">
        <f>IF(AND(I255&lt;&gt;"",J255&lt;&gt;""),(J255-I255)*24,"")</f>
        <v/>
      </c>
    </row>
    <row r="256">
      <c r="K256">
        <f>IF(AND(I256&lt;&gt;"",J256&lt;&gt;""),(J256-I256)*24,"")</f>
        <v/>
      </c>
    </row>
    <row r="257">
      <c r="K257">
        <f>IF(AND(I257&lt;&gt;"",J257&lt;&gt;""),(J257-I257)*24,"")</f>
        <v/>
      </c>
    </row>
    <row r="258">
      <c r="K258">
        <f>IF(AND(I258&lt;&gt;"",J258&lt;&gt;""),(J258-I258)*24,"")</f>
        <v/>
      </c>
    </row>
    <row r="259">
      <c r="K259">
        <f>IF(AND(I259&lt;&gt;"",J259&lt;&gt;""),(J259-I259)*24,"")</f>
        <v/>
      </c>
    </row>
    <row r="260">
      <c r="K260">
        <f>IF(AND(I260&lt;&gt;"",J260&lt;&gt;""),(J260-I260)*24,"")</f>
        <v/>
      </c>
    </row>
    <row r="261">
      <c r="K261">
        <f>IF(AND(I261&lt;&gt;"",J261&lt;&gt;""),(J261-I261)*24,"")</f>
        <v/>
      </c>
    </row>
    <row r="262">
      <c r="K262">
        <f>IF(AND(I262&lt;&gt;"",J262&lt;&gt;""),(J262-I262)*24,"")</f>
        <v/>
      </c>
    </row>
    <row r="263">
      <c r="K263">
        <f>IF(AND(I263&lt;&gt;"",J263&lt;&gt;""),(J263-I263)*24,"")</f>
        <v/>
      </c>
    </row>
    <row r="264">
      <c r="K264">
        <f>IF(AND(I264&lt;&gt;"",J264&lt;&gt;""),(J264-I264)*24,"")</f>
        <v/>
      </c>
    </row>
    <row r="265">
      <c r="K265">
        <f>IF(AND(I265&lt;&gt;"",J265&lt;&gt;""),(J265-I265)*24,"")</f>
        <v/>
      </c>
    </row>
    <row r="266">
      <c r="K266">
        <f>IF(AND(I266&lt;&gt;"",J266&lt;&gt;""),(J266-I266)*24,"")</f>
        <v/>
      </c>
    </row>
    <row r="267">
      <c r="K267">
        <f>IF(AND(I267&lt;&gt;"",J267&lt;&gt;""),(J267-I267)*24,"")</f>
        <v/>
      </c>
    </row>
    <row r="268">
      <c r="K268">
        <f>IF(AND(I268&lt;&gt;"",J268&lt;&gt;""),(J268-I268)*24,"")</f>
        <v/>
      </c>
    </row>
    <row r="269">
      <c r="K269">
        <f>IF(AND(I269&lt;&gt;"",J269&lt;&gt;""),(J269-I269)*24,"")</f>
        <v/>
      </c>
    </row>
    <row r="270">
      <c r="K270">
        <f>IF(AND(I270&lt;&gt;"",J270&lt;&gt;""),(J270-I270)*24,"")</f>
        <v/>
      </c>
    </row>
    <row r="271">
      <c r="K271">
        <f>IF(AND(I271&lt;&gt;"",J271&lt;&gt;""),(J271-I271)*24,"")</f>
        <v/>
      </c>
    </row>
    <row r="272">
      <c r="K272">
        <f>IF(AND(I272&lt;&gt;"",J272&lt;&gt;""),(J272-I272)*24,"")</f>
        <v/>
      </c>
    </row>
    <row r="273">
      <c r="K273">
        <f>IF(AND(I273&lt;&gt;"",J273&lt;&gt;""),(J273-I273)*24,"")</f>
        <v/>
      </c>
    </row>
    <row r="274">
      <c r="K274">
        <f>IF(AND(I274&lt;&gt;"",J274&lt;&gt;""),(J274-I274)*24,"")</f>
        <v/>
      </c>
    </row>
    <row r="275">
      <c r="K275">
        <f>IF(AND(I275&lt;&gt;"",J275&lt;&gt;""),(J275-I275)*24,"")</f>
        <v/>
      </c>
    </row>
    <row r="276">
      <c r="K276">
        <f>IF(AND(I276&lt;&gt;"",J276&lt;&gt;""),(J276-I276)*24,"")</f>
        <v/>
      </c>
    </row>
    <row r="277">
      <c r="K277">
        <f>IF(AND(I277&lt;&gt;"",J277&lt;&gt;""),(J277-I277)*24,"")</f>
        <v/>
      </c>
    </row>
    <row r="278">
      <c r="K278">
        <f>IF(AND(I278&lt;&gt;"",J278&lt;&gt;""),(J278-I278)*24,"")</f>
        <v/>
      </c>
    </row>
    <row r="279">
      <c r="K279">
        <f>IF(AND(I279&lt;&gt;"",J279&lt;&gt;""),(J279-I279)*24,"")</f>
        <v/>
      </c>
    </row>
    <row r="280">
      <c r="K280">
        <f>IF(AND(I280&lt;&gt;"",J280&lt;&gt;""),(J280-I280)*24,"")</f>
        <v/>
      </c>
    </row>
    <row r="281">
      <c r="K281">
        <f>IF(AND(I281&lt;&gt;"",J281&lt;&gt;""),(J281-I281)*24,"")</f>
        <v/>
      </c>
    </row>
    <row r="282">
      <c r="K282">
        <f>IF(AND(I282&lt;&gt;"",J282&lt;&gt;""),(J282-I282)*24,"")</f>
        <v/>
      </c>
    </row>
    <row r="283">
      <c r="K283">
        <f>IF(AND(I283&lt;&gt;"",J283&lt;&gt;""),(J283-I283)*24,"")</f>
        <v/>
      </c>
    </row>
    <row r="284">
      <c r="K284">
        <f>IF(AND(I284&lt;&gt;"",J284&lt;&gt;""),(J284-I284)*24,"")</f>
        <v/>
      </c>
    </row>
    <row r="285">
      <c r="K285">
        <f>IF(AND(I285&lt;&gt;"",J285&lt;&gt;""),(J285-I285)*24,"")</f>
        <v/>
      </c>
    </row>
    <row r="286">
      <c r="K286">
        <f>IF(AND(I286&lt;&gt;"",J286&lt;&gt;""),(J286-I286)*24,"")</f>
        <v/>
      </c>
    </row>
    <row r="287">
      <c r="K287">
        <f>IF(AND(I287&lt;&gt;"",J287&lt;&gt;""),(J287-I287)*24,"")</f>
        <v/>
      </c>
    </row>
    <row r="288">
      <c r="K288">
        <f>IF(AND(I288&lt;&gt;"",J288&lt;&gt;""),(J288-I288)*24,"")</f>
        <v/>
      </c>
    </row>
    <row r="289">
      <c r="K289">
        <f>IF(AND(I289&lt;&gt;"",J289&lt;&gt;""),(J289-I289)*24,"")</f>
        <v/>
      </c>
    </row>
    <row r="290">
      <c r="K290">
        <f>IF(AND(I290&lt;&gt;"",J290&lt;&gt;""),(J290-I290)*24,"")</f>
        <v/>
      </c>
    </row>
    <row r="291">
      <c r="K291">
        <f>IF(AND(I291&lt;&gt;"",J291&lt;&gt;""),(J291-I291)*24,"")</f>
        <v/>
      </c>
    </row>
    <row r="292">
      <c r="K292">
        <f>IF(AND(I292&lt;&gt;"",J292&lt;&gt;""),(J292-I292)*24,"")</f>
        <v/>
      </c>
    </row>
    <row r="293">
      <c r="K293">
        <f>IF(AND(I293&lt;&gt;"",J293&lt;&gt;""),(J293-I293)*24,"")</f>
        <v/>
      </c>
    </row>
    <row r="294">
      <c r="K294">
        <f>IF(AND(I294&lt;&gt;"",J294&lt;&gt;""),(J294-I294)*24,"")</f>
        <v/>
      </c>
    </row>
    <row r="295">
      <c r="K295">
        <f>IF(AND(I295&lt;&gt;"",J295&lt;&gt;""),(J295-I295)*24,"")</f>
        <v/>
      </c>
    </row>
    <row r="296">
      <c r="K296">
        <f>IF(AND(I296&lt;&gt;"",J296&lt;&gt;""),(J296-I296)*24,"")</f>
        <v/>
      </c>
    </row>
    <row r="297">
      <c r="K297">
        <f>IF(AND(I297&lt;&gt;"",J297&lt;&gt;""),(J297-I297)*24,"")</f>
        <v/>
      </c>
    </row>
    <row r="298">
      <c r="K298">
        <f>IF(AND(I298&lt;&gt;"",J298&lt;&gt;""),(J298-I298)*24,"")</f>
        <v/>
      </c>
    </row>
    <row r="299">
      <c r="K299">
        <f>IF(AND(I299&lt;&gt;"",J299&lt;&gt;""),(J299-I299)*24,"")</f>
        <v/>
      </c>
    </row>
    <row r="300">
      <c r="K300">
        <f>IF(AND(I300&lt;&gt;"",J300&lt;&gt;""),(J300-I300)*24,"")</f>
        <v/>
      </c>
    </row>
    <row r="301">
      <c r="K301">
        <f>IF(AND(I301&lt;&gt;"",J301&lt;&gt;""),(J301-I301)*24,"")</f>
        <v/>
      </c>
    </row>
    <row r="302">
      <c r="K302">
        <f>IF(AND(I302&lt;&gt;"",J302&lt;&gt;""),(J302-I302)*24,"")</f>
        <v/>
      </c>
    </row>
    <row r="303">
      <c r="K303">
        <f>IF(AND(I303&lt;&gt;"",J303&lt;&gt;""),(J303-I303)*24,"")</f>
        <v/>
      </c>
    </row>
    <row r="304">
      <c r="K304">
        <f>IF(AND(I304&lt;&gt;"",J304&lt;&gt;""),(J304-I304)*24,"")</f>
        <v/>
      </c>
    </row>
    <row r="305">
      <c r="K305">
        <f>IF(AND(I305&lt;&gt;"",J305&lt;&gt;""),(J305-I305)*24,"")</f>
        <v/>
      </c>
    </row>
    <row r="306">
      <c r="K306">
        <f>IF(AND(I306&lt;&gt;"",J306&lt;&gt;""),(J306-I306)*24,"")</f>
        <v/>
      </c>
    </row>
    <row r="307">
      <c r="K307">
        <f>IF(AND(I307&lt;&gt;"",J307&lt;&gt;""),(J307-I307)*24,"")</f>
        <v/>
      </c>
    </row>
    <row r="308">
      <c r="K308">
        <f>IF(AND(I308&lt;&gt;"",J308&lt;&gt;""),(J308-I308)*24,"")</f>
        <v/>
      </c>
    </row>
    <row r="309">
      <c r="K309">
        <f>IF(AND(I309&lt;&gt;"",J309&lt;&gt;""),(J309-I309)*24,"")</f>
        <v/>
      </c>
    </row>
    <row r="310">
      <c r="K310">
        <f>IF(AND(I310&lt;&gt;"",J310&lt;&gt;""),(J310-I310)*24,"")</f>
        <v/>
      </c>
    </row>
    <row r="311">
      <c r="K311">
        <f>IF(AND(I311&lt;&gt;"",J311&lt;&gt;""),(J311-I311)*24,"")</f>
        <v/>
      </c>
    </row>
    <row r="312">
      <c r="K312">
        <f>IF(AND(I312&lt;&gt;"",J312&lt;&gt;""),(J312-I312)*24,"")</f>
        <v/>
      </c>
    </row>
    <row r="313">
      <c r="K313">
        <f>IF(AND(I313&lt;&gt;"",J313&lt;&gt;""),(J313-I313)*24,"")</f>
        <v/>
      </c>
    </row>
    <row r="314">
      <c r="K314">
        <f>IF(AND(I314&lt;&gt;"",J314&lt;&gt;""),(J314-I314)*24,"")</f>
        <v/>
      </c>
    </row>
    <row r="315">
      <c r="K315">
        <f>IF(AND(I315&lt;&gt;"",J315&lt;&gt;""),(J315-I315)*24,"")</f>
        <v/>
      </c>
    </row>
    <row r="316">
      <c r="K316">
        <f>IF(AND(I316&lt;&gt;"",J316&lt;&gt;""),(J316-I316)*24,"")</f>
        <v/>
      </c>
    </row>
    <row r="317">
      <c r="K317">
        <f>IF(AND(I317&lt;&gt;"",J317&lt;&gt;""),(J317-I317)*24,"")</f>
        <v/>
      </c>
    </row>
    <row r="318">
      <c r="K318">
        <f>IF(AND(I318&lt;&gt;"",J318&lt;&gt;""),(J318-I318)*24,"")</f>
        <v/>
      </c>
    </row>
    <row r="319">
      <c r="K319">
        <f>IF(AND(I319&lt;&gt;"",J319&lt;&gt;""),(J319-I319)*24,"")</f>
        <v/>
      </c>
    </row>
    <row r="320">
      <c r="K320">
        <f>IF(AND(I320&lt;&gt;"",J320&lt;&gt;""),(J320-I320)*24,"")</f>
        <v/>
      </c>
    </row>
    <row r="321">
      <c r="K321">
        <f>IF(AND(I321&lt;&gt;"",J321&lt;&gt;""),(J321-I321)*24,"")</f>
        <v/>
      </c>
    </row>
    <row r="322">
      <c r="K322">
        <f>IF(AND(I322&lt;&gt;"",J322&lt;&gt;""),(J322-I322)*24,"")</f>
        <v/>
      </c>
    </row>
    <row r="323">
      <c r="K323">
        <f>IF(AND(I323&lt;&gt;"",J323&lt;&gt;""),(J323-I323)*24,"")</f>
        <v/>
      </c>
    </row>
    <row r="324">
      <c r="K324">
        <f>IF(AND(I324&lt;&gt;"",J324&lt;&gt;""),(J324-I324)*24,"")</f>
        <v/>
      </c>
    </row>
    <row r="325">
      <c r="K325">
        <f>IF(AND(I325&lt;&gt;"",J325&lt;&gt;""),(J325-I325)*24,"")</f>
        <v/>
      </c>
    </row>
    <row r="326">
      <c r="K326">
        <f>IF(AND(I326&lt;&gt;"",J326&lt;&gt;""),(J326-I326)*24,"")</f>
        <v/>
      </c>
    </row>
    <row r="327">
      <c r="K327">
        <f>IF(AND(I327&lt;&gt;"",J327&lt;&gt;""),(J327-I327)*24,"")</f>
        <v/>
      </c>
    </row>
    <row r="328">
      <c r="K328">
        <f>IF(AND(I328&lt;&gt;"",J328&lt;&gt;""),(J328-I328)*24,"")</f>
        <v/>
      </c>
    </row>
    <row r="329">
      <c r="K329">
        <f>IF(AND(I329&lt;&gt;"",J329&lt;&gt;""),(J329-I329)*24,"")</f>
        <v/>
      </c>
    </row>
    <row r="330">
      <c r="K330">
        <f>IF(AND(I330&lt;&gt;"",J330&lt;&gt;""),(J330-I330)*24,"")</f>
        <v/>
      </c>
    </row>
    <row r="331">
      <c r="K331">
        <f>IF(AND(I331&lt;&gt;"",J331&lt;&gt;""),(J331-I331)*24,"")</f>
        <v/>
      </c>
    </row>
    <row r="332">
      <c r="K332">
        <f>IF(AND(I332&lt;&gt;"",J332&lt;&gt;""),(J332-I332)*24,"")</f>
        <v/>
      </c>
    </row>
    <row r="333">
      <c r="K333">
        <f>IF(AND(I333&lt;&gt;"",J333&lt;&gt;""),(J333-I333)*24,"")</f>
        <v/>
      </c>
    </row>
    <row r="334">
      <c r="K334">
        <f>IF(AND(I334&lt;&gt;"",J334&lt;&gt;""),(J334-I334)*24,"")</f>
        <v/>
      </c>
    </row>
    <row r="335">
      <c r="K335">
        <f>IF(AND(I335&lt;&gt;"",J335&lt;&gt;""),(J335-I335)*24,"")</f>
        <v/>
      </c>
    </row>
    <row r="336">
      <c r="K336">
        <f>IF(AND(I336&lt;&gt;"",J336&lt;&gt;""),(J336-I336)*24,"")</f>
        <v/>
      </c>
    </row>
    <row r="337">
      <c r="K337">
        <f>IF(AND(I337&lt;&gt;"",J337&lt;&gt;""),(J337-I337)*24,"")</f>
        <v/>
      </c>
    </row>
    <row r="338">
      <c r="K338">
        <f>IF(AND(I338&lt;&gt;"",J338&lt;&gt;""),(J338-I338)*24,"")</f>
        <v/>
      </c>
    </row>
    <row r="339">
      <c r="K339">
        <f>IF(AND(I339&lt;&gt;"",J339&lt;&gt;""),(J339-I339)*24,"")</f>
        <v/>
      </c>
    </row>
    <row r="340">
      <c r="K340">
        <f>IF(AND(I340&lt;&gt;"",J340&lt;&gt;""),(J340-I340)*24,"")</f>
        <v/>
      </c>
    </row>
    <row r="341">
      <c r="K341">
        <f>IF(AND(I341&lt;&gt;"",J341&lt;&gt;""),(J341-I341)*24,"")</f>
        <v/>
      </c>
    </row>
    <row r="342">
      <c r="K342">
        <f>IF(AND(I342&lt;&gt;"",J342&lt;&gt;""),(J342-I342)*24,"")</f>
        <v/>
      </c>
    </row>
    <row r="343">
      <c r="K343">
        <f>IF(AND(I343&lt;&gt;"",J343&lt;&gt;""),(J343-I343)*24,"")</f>
        <v/>
      </c>
    </row>
    <row r="344">
      <c r="K344">
        <f>IF(AND(I344&lt;&gt;"",J344&lt;&gt;""),(J344-I344)*24,"")</f>
        <v/>
      </c>
    </row>
    <row r="345">
      <c r="K345">
        <f>IF(AND(I345&lt;&gt;"",J345&lt;&gt;""),(J345-I345)*24,"")</f>
        <v/>
      </c>
    </row>
    <row r="346">
      <c r="K346">
        <f>IF(AND(I346&lt;&gt;"",J346&lt;&gt;""),(J346-I346)*24,"")</f>
        <v/>
      </c>
    </row>
    <row r="347">
      <c r="K347">
        <f>IF(AND(I347&lt;&gt;"",J347&lt;&gt;""),(J347-I347)*24,"")</f>
        <v/>
      </c>
    </row>
    <row r="348">
      <c r="K348">
        <f>IF(AND(I348&lt;&gt;"",J348&lt;&gt;""),(J348-I348)*24,"")</f>
        <v/>
      </c>
    </row>
    <row r="349">
      <c r="K349">
        <f>IF(AND(I349&lt;&gt;"",J349&lt;&gt;""),(J349-I349)*24,"")</f>
        <v/>
      </c>
    </row>
    <row r="350">
      <c r="K350">
        <f>IF(AND(I350&lt;&gt;"",J350&lt;&gt;""),(J350-I350)*24,"")</f>
        <v/>
      </c>
    </row>
    <row r="351">
      <c r="K351">
        <f>IF(AND(I351&lt;&gt;"",J351&lt;&gt;""),(J351-I351)*24,"")</f>
        <v/>
      </c>
    </row>
    <row r="352">
      <c r="K352">
        <f>IF(AND(I352&lt;&gt;"",J352&lt;&gt;""),(J352-I352)*24,"")</f>
        <v/>
      </c>
    </row>
    <row r="353">
      <c r="K353">
        <f>IF(AND(I353&lt;&gt;"",J353&lt;&gt;""),(J353-I353)*24,"")</f>
        <v/>
      </c>
    </row>
    <row r="354">
      <c r="K354">
        <f>IF(AND(I354&lt;&gt;"",J354&lt;&gt;""),(J354-I354)*24,"")</f>
        <v/>
      </c>
    </row>
    <row r="355">
      <c r="K355">
        <f>IF(AND(I355&lt;&gt;"",J355&lt;&gt;""),(J355-I355)*24,"")</f>
        <v/>
      </c>
    </row>
    <row r="356">
      <c r="K356">
        <f>IF(AND(I356&lt;&gt;"",J356&lt;&gt;""),(J356-I356)*24,"")</f>
        <v/>
      </c>
    </row>
    <row r="357">
      <c r="K357">
        <f>IF(AND(I357&lt;&gt;"",J357&lt;&gt;""),(J357-I357)*24,"")</f>
        <v/>
      </c>
    </row>
    <row r="358">
      <c r="K358">
        <f>IF(AND(I358&lt;&gt;"",J358&lt;&gt;""),(J358-I358)*24,"")</f>
        <v/>
      </c>
    </row>
    <row r="359">
      <c r="K359">
        <f>IF(AND(I359&lt;&gt;"",J359&lt;&gt;""),(J359-I359)*24,"")</f>
        <v/>
      </c>
    </row>
    <row r="360">
      <c r="K360">
        <f>IF(AND(I360&lt;&gt;"",J360&lt;&gt;""),(J360-I360)*24,"")</f>
        <v/>
      </c>
    </row>
    <row r="361">
      <c r="K361">
        <f>IF(AND(I361&lt;&gt;"",J361&lt;&gt;""),(J361-I361)*24,"")</f>
        <v/>
      </c>
    </row>
    <row r="362">
      <c r="K362">
        <f>IF(AND(I362&lt;&gt;"",J362&lt;&gt;""),(J362-I362)*24,"")</f>
        <v/>
      </c>
    </row>
    <row r="363">
      <c r="K363">
        <f>IF(AND(I363&lt;&gt;"",J363&lt;&gt;""),(J363-I363)*24,"")</f>
        <v/>
      </c>
    </row>
    <row r="364">
      <c r="K364">
        <f>IF(AND(I364&lt;&gt;"",J364&lt;&gt;""),(J364-I364)*24,"")</f>
        <v/>
      </c>
    </row>
    <row r="365">
      <c r="K365">
        <f>IF(AND(I365&lt;&gt;"",J365&lt;&gt;""),(J365-I365)*24,"")</f>
        <v/>
      </c>
    </row>
    <row r="366">
      <c r="K366">
        <f>IF(AND(I366&lt;&gt;"",J366&lt;&gt;""),(J366-I366)*24,"")</f>
        <v/>
      </c>
    </row>
    <row r="367">
      <c r="K367">
        <f>IF(AND(I367&lt;&gt;"",J367&lt;&gt;""),(J367-I367)*24,"")</f>
        <v/>
      </c>
    </row>
    <row r="368">
      <c r="K368">
        <f>IF(AND(I368&lt;&gt;"",J368&lt;&gt;""),(J368-I368)*24,"")</f>
        <v/>
      </c>
    </row>
    <row r="369">
      <c r="K369">
        <f>IF(AND(I369&lt;&gt;"",J369&lt;&gt;""),(J369-I369)*24,"")</f>
        <v/>
      </c>
    </row>
    <row r="370">
      <c r="K370">
        <f>IF(AND(I370&lt;&gt;"",J370&lt;&gt;""),(J370-I370)*24,"")</f>
        <v/>
      </c>
    </row>
    <row r="371">
      <c r="K371">
        <f>IF(AND(I371&lt;&gt;"",J371&lt;&gt;""),(J371-I371)*24,"")</f>
        <v/>
      </c>
    </row>
    <row r="372">
      <c r="K372">
        <f>IF(AND(I372&lt;&gt;"",J372&lt;&gt;""),(J372-I372)*24,"")</f>
        <v/>
      </c>
    </row>
    <row r="373">
      <c r="K373">
        <f>IF(AND(I373&lt;&gt;"",J373&lt;&gt;""),(J373-I373)*24,"")</f>
        <v/>
      </c>
    </row>
    <row r="374">
      <c r="K374">
        <f>IF(AND(I374&lt;&gt;"",J374&lt;&gt;""),(J374-I374)*24,"")</f>
        <v/>
      </c>
    </row>
    <row r="375">
      <c r="K375">
        <f>IF(AND(I375&lt;&gt;"",J375&lt;&gt;""),(J375-I375)*24,"")</f>
        <v/>
      </c>
    </row>
    <row r="376">
      <c r="K376">
        <f>IF(AND(I376&lt;&gt;"",J376&lt;&gt;""),(J376-I376)*24,"")</f>
        <v/>
      </c>
    </row>
    <row r="377">
      <c r="K377">
        <f>IF(AND(I377&lt;&gt;"",J377&lt;&gt;""),(J377-I377)*24,"")</f>
        <v/>
      </c>
    </row>
    <row r="378">
      <c r="K378">
        <f>IF(AND(I378&lt;&gt;"",J378&lt;&gt;""),(J378-I378)*24,"")</f>
        <v/>
      </c>
    </row>
    <row r="379">
      <c r="K379">
        <f>IF(AND(I379&lt;&gt;"",J379&lt;&gt;""),(J379-I379)*24,"")</f>
        <v/>
      </c>
    </row>
    <row r="380">
      <c r="K380">
        <f>IF(AND(I380&lt;&gt;"",J380&lt;&gt;""),(J380-I380)*24,"")</f>
        <v/>
      </c>
    </row>
    <row r="381">
      <c r="K381">
        <f>IF(AND(I381&lt;&gt;"",J381&lt;&gt;""),(J381-I381)*24,"")</f>
        <v/>
      </c>
    </row>
    <row r="382">
      <c r="K382">
        <f>IF(AND(I382&lt;&gt;"",J382&lt;&gt;""),(J382-I382)*24,"")</f>
        <v/>
      </c>
    </row>
    <row r="383">
      <c r="K383">
        <f>IF(AND(I383&lt;&gt;"",J383&lt;&gt;""),(J383-I383)*24,"")</f>
        <v/>
      </c>
    </row>
    <row r="384">
      <c r="K384">
        <f>IF(AND(I384&lt;&gt;"",J384&lt;&gt;""),(J384-I384)*24,"")</f>
        <v/>
      </c>
    </row>
    <row r="385">
      <c r="K385">
        <f>IF(AND(I385&lt;&gt;"",J385&lt;&gt;""),(J385-I385)*24,"")</f>
        <v/>
      </c>
    </row>
    <row r="386">
      <c r="K386">
        <f>IF(AND(I386&lt;&gt;"",J386&lt;&gt;""),(J386-I386)*24,"")</f>
        <v/>
      </c>
    </row>
    <row r="387">
      <c r="K387">
        <f>IF(AND(I387&lt;&gt;"",J387&lt;&gt;""),(J387-I387)*24,"")</f>
        <v/>
      </c>
    </row>
    <row r="388">
      <c r="K388">
        <f>IF(AND(I388&lt;&gt;"",J388&lt;&gt;""),(J388-I388)*24,"")</f>
        <v/>
      </c>
    </row>
    <row r="389">
      <c r="K389">
        <f>IF(AND(I389&lt;&gt;"",J389&lt;&gt;""),(J389-I389)*24,"")</f>
        <v/>
      </c>
    </row>
    <row r="390">
      <c r="K390">
        <f>IF(AND(I390&lt;&gt;"",J390&lt;&gt;""),(J390-I390)*24,"")</f>
        <v/>
      </c>
    </row>
    <row r="391">
      <c r="K391">
        <f>IF(AND(I391&lt;&gt;"",J391&lt;&gt;""),(J391-I391)*24,"")</f>
        <v/>
      </c>
    </row>
    <row r="392">
      <c r="K392">
        <f>IF(AND(I392&lt;&gt;"",J392&lt;&gt;""),(J392-I392)*24,"")</f>
        <v/>
      </c>
    </row>
    <row r="393">
      <c r="K393">
        <f>IF(AND(I393&lt;&gt;"",J393&lt;&gt;""),(J393-I393)*24,"")</f>
        <v/>
      </c>
    </row>
    <row r="394">
      <c r="K394">
        <f>IF(AND(I394&lt;&gt;"",J394&lt;&gt;""),(J394-I394)*24,"")</f>
        <v/>
      </c>
    </row>
    <row r="395">
      <c r="K395">
        <f>IF(AND(I395&lt;&gt;"",J395&lt;&gt;""),(J395-I395)*24,"")</f>
        <v/>
      </c>
    </row>
    <row r="396">
      <c r="K396">
        <f>IF(AND(I396&lt;&gt;"",J396&lt;&gt;""),(J396-I396)*24,"")</f>
        <v/>
      </c>
    </row>
    <row r="397">
      <c r="K397">
        <f>IF(AND(I397&lt;&gt;"",J397&lt;&gt;""),(J397-I397)*24,"")</f>
        <v/>
      </c>
    </row>
    <row r="398">
      <c r="K398">
        <f>IF(AND(I398&lt;&gt;"",J398&lt;&gt;""),(J398-I398)*24,"")</f>
        <v/>
      </c>
    </row>
    <row r="399">
      <c r="K399">
        <f>IF(AND(I399&lt;&gt;"",J399&lt;&gt;""),(J399-I399)*24,"")</f>
        <v/>
      </c>
    </row>
    <row r="400">
      <c r="K400">
        <f>IF(AND(I400&lt;&gt;"",J400&lt;&gt;""),(J400-I400)*24,"")</f>
        <v/>
      </c>
    </row>
    <row r="401">
      <c r="K401">
        <f>IF(AND(I401&lt;&gt;"",J401&lt;&gt;""),(J401-I401)*24,"")</f>
        <v/>
      </c>
    </row>
    <row r="402">
      <c r="K402">
        <f>IF(AND(I402&lt;&gt;"",J402&lt;&gt;""),(J402-I402)*24,"")</f>
        <v/>
      </c>
    </row>
    <row r="403">
      <c r="K403">
        <f>IF(AND(I403&lt;&gt;"",J403&lt;&gt;""),(J403-I403)*24,"")</f>
        <v/>
      </c>
    </row>
    <row r="404">
      <c r="K404">
        <f>IF(AND(I404&lt;&gt;"",J404&lt;&gt;""),(J404-I404)*24,"")</f>
        <v/>
      </c>
    </row>
    <row r="405">
      <c r="K405">
        <f>IF(AND(I405&lt;&gt;"",J405&lt;&gt;""),(J405-I405)*24,"")</f>
        <v/>
      </c>
    </row>
    <row r="406">
      <c r="K406">
        <f>IF(AND(I406&lt;&gt;"",J406&lt;&gt;""),(J406-I406)*24,"")</f>
        <v/>
      </c>
    </row>
    <row r="407">
      <c r="K407">
        <f>IF(AND(I407&lt;&gt;"",J407&lt;&gt;""),(J407-I407)*24,"")</f>
        <v/>
      </c>
    </row>
    <row r="408">
      <c r="K408">
        <f>IF(AND(I408&lt;&gt;"",J408&lt;&gt;""),(J408-I408)*24,"")</f>
        <v/>
      </c>
    </row>
    <row r="409">
      <c r="K409">
        <f>IF(AND(I409&lt;&gt;"",J409&lt;&gt;""),(J409-I409)*24,"")</f>
        <v/>
      </c>
    </row>
    <row r="410">
      <c r="K410">
        <f>IF(AND(I410&lt;&gt;"",J410&lt;&gt;""),(J410-I410)*24,"")</f>
        <v/>
      </c>
    </row>
    <row r="411">
      <c r="K411">
        <f>IF(AND(I411&lt;&gt;"",J411&lt;&gt;""),(J411-I411)*24,"")</f>
        <v/>
      </c>
    </row>
    <row r="412">
      <c r="K412">
        <f>IF(AND(I412&lt;&gt;"",J412&lt;&gt;""),(J412-I412)*24,"")</f>
        <v/>
      </c>
    </row>
    <row r="413">
      <c r="K413">
        <f>IF(AND(I413&lt;&gt;"",J413&lt;&gt;""),(J413-I413)*24,"")</f>
        <v/>
      </c>
    </row>
    <row r="414">
      <c r="K414">
        <f>IF(AND(I414&lt;&gt;"",J414&lt;&gt;""),(J414-I414)*24,"")</f>
        <v/>
      </c>
    </row>
    <row r="415">
      <c r="K415">
        <f>IF(AND(I415&lt;&gt;"",J415&lt;&gt;""),(J415-I415)*24,"")</f>
        <v/>
      </c>
    </row>
    <row r="416">
      <c r="K416">
        <f>IF(AND(I416&lt;&gt;"",J416&lt;&gt;""),(J416-I416)*24,"")</f>
        <v/>
      </c>
    </row>
    <row r="417">
      <c r="K417">
        <f>IF(AND(I417&lt;&gt;"",J417&lt;&gt;""),(J417-I417)*24,"")</f>
        <v/>
      </c>
    </row>
    <row r="418">
      <c r="K418">
        <f>IF(AND(I418&lt;&gt;"",J418&lt;&gt;""),(J418-I418)*24,"")</f>
        <v/>
      </c>
    </row>
    <row r="419">
      <c r="K419">
        <f>IF(AND(I419&lt;&gt;"",J419&lt;&gt;""),(J419-I419)*24,"")</f>
        <v/>
      </c>
    </row>
    <row r="420">
      <c r="K420">
        <f>IF(AND(I420&lt;&gt;"",J420&lt;&gt;""),(J420-I420)*24,"")</f>
        <v/>
      </c>
    </row>
    <row r="421">
      <c r="K421">
        <f>IF(AND(I421&lt;&gt;"",J421&lt;&gt;""),(J421-I421)*24,"")</f>
        <v/>
      </c>
    </row>
    <row r="422">
      <c r="K422">
        <f>IF(AND(I422&lt;&gt;"",J422&lt;&gt;""),(J422-I422)*24,"")</f>
        <v/>
      </c>
    </row>
    <row r="423">
      <c r="K423">
        <f>IF(AND(I423&lt;&gt;"",J423&lt;&gt;""),(J423-I423)*24,"")</f>
        <v/>
      </c>
    </row>
    <row r="424">
      <c r="K424">
        <f>IF(AND(I424&lt;&gt;"",J424&lt;&gt;""),(J424-I424)*24,"")</f>
        <v/>
      </c>
    </row>
    <row r="425">
      <c r="K425">
        <f>IF(AND(I425&lt;&gt;"",J425&lt;&gt;""),(J425-I425)*24,"")</f>
        <v/>
      </c>
    </row>
    <row r="426">
      <c r="K426">
        <f>IF(AND(I426&lt;&gt;"",J426&lt;&gt;""),(J426-I426)*24,"")</f>
        <v/>
      </c>
    </row>
    <row r="427">
      <c r="K427">
        <f>IF(AND(I427&lt;&gt;"",J427&lt;&gt;""),(J427-I427)*24,"")</f>
        <v/>
      </c>
    </row>
    <row r="428">
      <c r="K428">
        <f>IF(AND(I428&lt;&gt;"",J428&lt;&gt;""),(J428-I428)*24,"")</f>
        <v/>
      </c>
    </row>
    <row r="429">
      <c r="K429">
        <f>IF(AND(I429&lt;&gt;"",J429&lt;&gt;""),(J429-I429)*24,"")</f>
        <v/>
      </c>
    </row>
    <row r="430">
      <c r="K430">
        <f>IF(AND(I430&lt;&gt;"",J430&lt;&gt;""),(J430-I430)*24,"")</f>
        <v/>
      </c>
    </row>
    <row r="431">
      <c r="K431">
        <f>IF(AND(I431&lt;&gt;"",J431&lt;&gt;""),(J431-I431)*24,"")</f>
        <v/>
      </c>
    </row>
    <row r="432">
      <c r="K432">
        <f>IF(AND(I432&lt;&gt;"",J432&lt;&gt;""),(J432-I432)*24,"")</f>
        <v/>
      </c>
    </row>
    <row r="433">
      <c r="K433">
        <f>IF(AND(I433&lt;&gt;"",J433&lt;&gt;""),(J433-I433)*24,"")</f>
        <v/>
      </c>
    </row>
    <row r="434">
      <c r="K434">
        <f>IF(AND(I434&lt;&gt;"",J434&lt;&gt;""),(J434-I434)*24,"")</f>
        <v/>
      </c>
    </row>
    <row r="435">
      <c r="K435">
        <f>IF(AND(I435&lt;&gt;"",J435&lt;&gt;""),(J435-I435)*24,"")</f>
        <v/>
      </c>
    </row>
    <row r="436">
      <c r="K436">
        <f>IF(AND(I436&lt;&gt;"",J436&lt;&gt;""),(J436-I436)*24,"")</f>
        <v/>
      </c>
    </row>
    <row r="437">
      <c r="K437">
        <f>IF(AND(I437&lt;&gt;"",J437&lt;&gt;""),(J437-I437)*24,"")</f>
        <v/>
      </c>
    </row>
    <row r="438">
      <c r="K438">
        <f>IF(AND(I438&lt;&gt;"",J438&lt;&gt;""),(J438-I438)*24,"")</f>
        <v/>
      </c>
    </row>
    <row r="439">
      <c r="K439">
        <f>IF(AND(I439&lt;&gt;"",J439&lt;&gt;""),(J439-I439)*24,"")</f>
        <v/>
      </c>
    </row>
    <row r="440">
      <c r="K440">
        <f>IF(AND(I440&lt;&gt;"",J440&lt;&gt;""),(J440-I440)*24,"")</f>
        <v/>
      </c>
    </row>
    <row r="441">
      <c r="K441">
        <f>IF(AND(I441&lt;&gt;"",J441&lt;&gt;""),(J441-I441)*24,"")</f>
        <v/>
      </c>
    </row>
    <row r="442">
      <c r="K442">
        <f>IF(AND(I442&lt;&gt;"",J442&lt;&gt;""),(J442-I442)*24,"")</f>
        <v/>
      </c>
    </row>
    <row r="443">
      <c r="K443">
        <f>IF(AND(I443&lt;&gt;"",J443&lt;&gt;""),(J443-I443)*24,"")</f>
        <v/>
      </c>
    </row>
    <row r="444">
      <c r="K444">
        <f>IF(AND(I444&lt;&gt;"",J444&lt;&gt;""),(J444-I444)*24,"")</f>
        <v/>
      </c>
    </row>
    <row r="445">
      <c r="K445">
        <f>IF(AND(I445&lt;&gt;"",J445&lt;&gt;""),(J445-I445)*24,"")</f>
        <v/>
      </c>
    </row>
    <row r="446">
      <c r="K446">
        <f>IF(AND(I446&lt;&gt;"",J446&lt;&gt;""),(J446-I446)*24,"")</f>
        <v/>
      </c>
    </row>
    <row r="447">
      <c r="K447">
        <f>IF(AND(I447&lt;&gt;"",J447&lt;&gt;""),(J447-I447)*24,"")</f>
        <v/>
      </c>
    </row>
    <row r="448">
      <c r="K448">
        <f>IF(AND(I448&lt;&gt;"",J448&lt;&gt;""),(J448-I448)*24,"")</f>
        <v/>
      </c>
    </row>
    <row r="449">
      <c r="K449">
        <f>IF(AND(I449&lt;&gt;"",J449&lt;&gt;""),(J449-I449)*24,"")</f>
        <v/>
      </c>
    </row>
    <row r="450">
      <c r="K450">
        <f>IF(AND(I450&lt;&gt;"",J450&lt;&gt;""),(J450-I450)*24,"")</f>
        <v/>
      </c>
    </row>
    <row r="451">
      <c r="K451">
        <f>IF(AND(I451&lt;&gt;"",J451&lt;&gt;""),(J451-I451)*24,"")</f>
        <v/>
      </c>
    </row>
    <row r="452">
      <c r="K452">
        <f>IF(AND(I452&lt;&gt;"",J452&lt;&gt;""),(J452-I452)*24,"")</f>
        <v/>
      </c>
    </row>
    <row r="453">
      <c r="K453">
        <f>IF(AND(I453&lt;&gt;"",J453&lt;&gt;""),(J453-I453)*24,"")</f>
        <v/>
      </c>
    </row>
    <row r="454">
      <c r="K454">
        <f>IF(AND(I454&lt;&gt;"",J454&lt;&gt;""),(J454-I454)*24,"")</f>
        <v/>
      </c>
    </row>
    <row r="455">
      <c r="K455">
        <f>IF(AND(I455&lt;&gt;"",J455&lt;&gt;""),(J455-I455)*24,"")</f>
        <v/>
      </c>
    </row>
    <row r="456">
      <c r="K456">
        <f>IF(AND(I456&lt;&gt;"",J456&lt;&gt;""),(J456-I456)*24,"")</f>
        <v/>
      </c>
    </row>
    <row r="457">
      <c r="K457">
        <f>IF(AND(I457&lt;&gt;"",J457&lt;&gt;""),(J457-I457)*24,"")</f>
        <v/>
      </c>
    </row>
    <row r="458">
      <c r="K458">
        <f>IF(AND(I458&lt;&gt;"",J458&lt;&gt;""),(J458-I458)*24,"")</f>
        <v/>
      </c>
    </row>
    <row r="459">
      <c r="K459">
        <f>IF(AND(I459&lt;&gt;"",J459&lt;&gt;""),(J459-I459)*24,"")</f>
        <v/>
      </c>
    </row>
    <row r="460">
      <c r="K460">
        <f>IF(AND(I460&lt;&gt;"",J460&lt;&gt;""),(J460-I460)*24,"")</f>
        <v/>
      </c>
    </row>
    <row r="461">
      <c r="K461">
        <f>IF(AND(I461&lt;&gt;"",J461&lt;&gt;""),(J461-I461)*24,"")</f>
        <v/>
      </c>
    </row>
    <row r="462">
      <c r="K462">
        <f>IF(AND(I462&lt;&gt;"",J462&lt;&gt;""),(J462-I462)*24,"")</f>
        <v/>
      </c>
    </row>
    <row r="463">
      <c r="K463">
        <f>IF(AND(I463&lt;&gt;"",J463&lt;&gt;""),(J463-I463)*24,"")</f>
        <v/>
      </c>
    </row>
    <row r="464">
      <c r="K464">
        <f>IF(AND(I464&lt;&gt;"",J464&lt;&gt;""),(J464-I464)*24,"")</f>
        <v/>
      </c>
    </row>
    <row r="465">
      <c r="K465">
        <f>IF(AND(I465&lt;&gt;"",J465&lt;&gt;""),(J465-I465)*24,"")</f>
        <v/>
      </c>
    </row>
    <row r="466">
      <c r="K466">
        <f>IF(AND(I466&lt;&gt;"",J466&lt;&gt;""),(J466-I466)*24,"")</f>
        <v/>
      </c>
    </row>
    <row r="467">
      <c r="K467">
        <f>IF(AND(I467&lt;&gt;"",J467&lt;&gt;""),(J467-I467)*24,"")</f>
        <v/>
      </c>
    </row>
    <row r="468">
      <c r="K468">
        <f>IF(AND(I468&lt;&gt;"",J468&lt;&gt;""),(J468-I468)*24,"")</f>
        <v/>
      </c>
    </row>
    <row r="469">
      <c r="K469">
        <f>IF(AND(I469&lt;&gt;"",J469&lt;&gt;""),(J469-I469)*24,"")</f>
        <v/>
      </c>
    </row>
    <row r="470">
      <c r="K470">
        <f>IF(AND(I470&lt;&gt;"",J470&lt;&gt;""),(J470-I470)*24,"")</f>
        <v/>
      </c>
    </row>
    <row r="471">
      <c r="K471">
        <f>IF(AND(I471&lt;&gt;"",J471&lt;&gt;""),(J471-I471)*24,"")</f>
        <v/>
      </c>
    </row>
    <row r="472">
      <c r="K472">
        <f>IF(AND(I472&lt;&gt;"",J472&lt;&gt;""),(J472-I472)*24,"")</f>
        <v/>
      </c>
    </row>
    <row r="473">
      <c r="K473">
        <f>IF(AND(I473&lt;&gt;"",J473&lt;&gt;""),(J473-I473)*24,"")</f>
        <v/>
      </c>
    </row>
    <row r="474">
      <c r="K474">
        <f>IF(AND(I474&lt;&gt;"",J474&lt;&gt;""),(J474-I474)*24,"")</f>
        <v/>
      </c>
    </row>
    <row r="475">
      <c r="K475">
        <f>IF(AND(I475&lt;&gt;"",J475&lt;&gt;""),(J475-I475)*24,"")</f>
        <v/>
      </c>
    </row>
    <row r="476">
      <c r="K476">
        <f>IF(AND(I476&lt;&gt;"",J476&lt;&gt;""),(J476-I476)*24,"")</f>
        <v/>
      </c>
    </row>
    <row r="477">
      <c r="K477">
        <f>IF(AND(I477&lt;&gt;"",J477&lt;&gt;""),(J477-I477)*24,"")</f>
        <v/>
      </c>
    </row>
    <row r="478">
      <c r="K478">
        <f>IF(AND(I478&lt;&gt;"",J478&lt;&gt;""),(J478-I478)*24,"")</f>
        <v/>
      </c>
    </row>
    <row r="479">
      <c r="K479">
        <f>IF(AND(I479&lt;&gt;"",J479&lt;&gt;""),(J479-I479)*24,"")</f>
        <v/>
      </c>
    </row>
    <row r="480">
      <c r="K480">
        <f>IF(AND(I480&lt;&gt;"",J480&lt;&gt;""),(J480-I480)*24,"")</f>
        <v/>
      </c>
    </row>
    <row r="481">
      <c r="K481">
        <f>IF(AND(I481&lt;&gt;"",J481&lt;&gt;""),(J481-I481)*24,"")</f>
        <v/>
      </c>
    </row>
    <row r="482">
      <c r="K482">
        <f>IF(AND(I482&lt;&gt;"",J482&lt;&gt;""),(J482-I482)*24,"")</f>
        <v/>
      </c>
    </row>
    <row r="483">
      <c r="K483">
        <f>IF(AND(I483&lt;&gt;"",J483&lt;&gt;""),(J483-I483)*24,"")</f>
        <v/>
      </c>
    </row>
    <row r="484">
      <c r="K484">
        <f>IF(AND(I484&lt;&gt;"",J484&lt;&gt;""),(J484-I484)*24,"")</f>
        <v/>
      </c>
    </row>
    <row r="485">
      <c r="K485">
        <f>IF(AND(I485&lt;&gt;"",J485&lt;&gt;""),(J485-I485)*24,"")</f>
        <v/>
      </c>
    </row>
    <row r="486">
      <c r="K486">
        <f>IF(AND(I486&lt;&gt;"",J486&lt;&gt;""),(J486-I486)*24,"")</f>
        <v/>
      </c>
    </row>
    <row r="487">
      <c r="K487">
        <f>IF(AND(I487&lt;&gt;"",J487&lt;&gt;""),(J487-I487)*24,"")</f>
        <v/>
      </c>
    </row>
    <row r="488">
      <c r="K488">
        <f>IF(AND(I488&lt;&gt;"",J488&lt;&gt;""),(J488-I488)*24,"")</f>
        <v/>
      </c>
    </row>
    <row r="489">
      <c r="K489">
        <f>IF(AND(I489&lt;&gt;"",J489&lt;&gt;""),(J489-I489)*24,"")</f>
        <v/>
      </c>
    </row>
    <row r="490">
      <c r="K490">
        <f>IF(AND(I490&lt;&gt;"",J490&lt;&gt;""),(J490-I490)*24,"")</f>
        <v/>
      </c>
    </row>
    <row r="491">
      <c r="K491">
        <f>IF(AND(I491&lt;&gt;"",J491&lt;&gt;""),(J491-I491)*24,"")</f>
        <v/>
      </c>
    </row>
    <row r="492">
      <c r="K492">
        <f>IF(AND(I492&lt;&gt;"",J492&lt;&gt;""),(J492-I492)*24,"")</f>
        <v/>
      </c>
    </row>
    <row r="493">
      <c r="K493">
        <f>IF(AND(I493&lt;&gt;"",J493&lt;&gt;""),(J493-I493)*24,"")</f>
        <v/>
      </c>
    </row>
    <row r="494">
      <c r="K494">
        <f>IF(AND(I494&lt;&gt;"",J494&lt;&gt;""),(J494-I494)*24,"")</f>
        <v/>
      </c>
    </row>
    <row r="495">
      <c r="K495">
        <f>IF(AND(I495&lt;&gt;"",J495&lt;&gt;""),(J495-I495)*24,"")</f>
        <v/>
      </c>
    </row>
    <row r="496">
      <c r="K496">
        <f>IF(AND(I496&lt;&gt;"",J496&lt;&gt;""),(J496-I496)*24,"")</f>
        <v/>
      </c>
    </row>
    <row r="497">
      <c r="K497">
        <f>IF(AND(I497&lt;&gt;"",J497&lt;&gt;""),(J497-I497)*24,"")</f>
        <v/>
      </c>
    </row>
    <row r="498">
      <c r="K498">
        <f>IF(AND(I498&lt;&gt;"",J498&lt;&gt;""),(J498-I498)*24,"")</f>
        <v/>
      </c>
    </row>
    <row r="499">
      <c r="K499">
        <f>IF(AND(I499&lt;&gt;"",J499&lt;&gt;""),(J499-I499)*24,"")</f>
        <v/>
      </c>
    </row>
    <row r="500">
      <c r="K500">
        <f>IF(AND(I500&lt;&gt;"",J500&lt;&gt;""),(J500-I500)*24,"")</f>
        <v/>
      </c>
    </row>
  </sheetData>
  <autoFilter ref="A1:O1"/>
  <conditionalFormatting sqref="N2:N500">
    <cfRule type="expression" priority="1" dxfId="0">
      <formula>EXACT($N2,"Bloqueado")</formula>
    </cfRule>
    <cfRule type="expression" priority="2" dxfId="1">
      <formula>EXACT($N2,"Concluído")</formula>
    </cfRule>
  </conditionalFormatting>
  <conditionalFormatting sqref="A2:O500">
    <cfRule type="expression" priority="3" dxfId="2">
      <formula>AND(ISNUMBER($M2),ISNUMBER($L2),$M2&gt;$L2)</formula>
    </cfRule>
  </conditionalFormatting>
  <dataValidations count="4">
    <dataValidation sqref="G2:G500" showDropDown="0" showInputMessage="0" showErrorMessage="0" allowBlank="1" type="list">
      <formula1>=Listas!$A$2:$A$8</formula1>
    </dataValidation>
    <dataValidation sqref="N2:N500" showDropDown="0" showInputMessage="0" showErrorMessage="0" allowBlank="1" type="list">
      <formula1>=Listas!$B$2:$B$4</formula1>
    </dataValidation>
    <dataValidation sqref="B2:B500" showDropDown="0" showInputMessage="0" showErrorMessage="0" allowBlank="1" type="list">
      <formula1>=Listas!$C$2:$C$4</formula1>
    </dataValidation>
    <dataValidation sqref="C2:C500" showDropDown="0" showInputMessage="0" showErrorMessage="0" allowBlank="1" type="list">
      <formula1>=Listas!$D$2:$D$4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2" t="inlineStr">
        <is>
          <t>Indicadores de Tempo</t>
        </is>
      </c>
    </row>
    <row r="2">
      <c r="A2" s="3" t="inlineStr">
        <is>
          <t>Indicadores (KPIs)</t>
        </is>
      </c>
    </row>
    <row r="3">
      <c r="A3" s="4" t="inlineStr">
        <is>
          <t>Total de Horas Planejadas</t>
        </is>
      </c>
      <c r="B3">
        <f>SUM(Registros!L2:L500)</f>
        <v/>
      </c>
    </row>
    <row r="4">
      <c r="A4" s="4" t="inlineStr">
        <is>
          <t>Total de Horas Realizadas</t>
        </is>
      </c>
      <c r="B4">
        <f>SUM(Registros!M2:M500)</f>
        <v/>
      </c>
    </row>
    <row r="5">
      <c r="A5" s="4" t="inlineStr">
        <is>
          <t>Desvio (Real - Plan)</t>
        </is>
      </c>
      <c r="B5">
        <f>Indicadores!B4-Indicadores!B3</f>
        <v/>
      </c>
    </row>
    <row r="6">
      <c r="A6" s="4" t="inlineStr">
        <is>
          <t>Média de Duração por Atividade (h)</t>
        </is>
      </c>
      <c r="B6">
        <f>IFERROR(AVERAGE(Registros!K2:K500),"")</f>
        <v/>
      </c>
    </row>
    <row r="7">
      <c r="A7" s="4" t="inlineStr">
        <is>
          <t>Eficiência (%) (Plan/Real)</t>
        </is>
      </c>
      <c r="B7">
        <f>IFERROR(Indicadores!B3/Indicadores!B4*100,"")</f>
        <v/>
      </c>
    </row>
    <row r="8">
      <c r="A8" s="4" t="inlineStr">
        <is>
          <t>Taxa de Atraso (%)</t>
        </is>
      </c>
      <c r="B8">
        <f>IFERROR(SUMPRODUCT((Registros!M2:M500&lt;&gt;"")*(Registros!L2:L500&lt;&gt;"")*(Registros!M2:M500&gt;Registros!L2:L500))/COUNTA(Registros!A2:A500)*100,"")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4" max="4"/>
    <col width="16" customWidth="1" min="5" max="5"/>
  </cols>
  <sheetData>
    <row r="1">
      <c r="A1" s="2" t="inlineStr">
        <is>
          <t>Análises de Tempo</t>
        </is>
      </c>
    </row>
    <row r="3">
      <c r="A3" s="3" t="inlineStr">
        <is>
          <t>Horas por Tipo de Atividade</t>
        </is>
      </c>
      <c r="D3" s="3" t="inlineStr">
        <is>
          <t>Comparação entre Equipes</t>
        </is>
      </c>
    </row>
    <row r="4">
      <c r="A4" s="4" t="inlineStr">
        <is>
          <t>Tipo</t>
        </is>
      </c>
      <c r="B4" s="4" t="inlineStr">
        <is>
          <t>Horas Realizadas</t>
        </is>
      </c>
      <c r="D4" s="4" t="inlineStr">
        <is>
          <t>Equipe</t>
        </is>
      </c>
      <c r="E4" s="4" t="inlineStr">
        <is>
          <t>Horas Realizadas</t>
        </is>
      </c>
    </row>
    <row r="5">
      <c r="A5" t="inlineStr">
        <is>
          <t>Desenvolvimento</t>
        </is>
      </c>
      <c r="B5">
        <f>SUMIF(Registros!G2:G500,$A5,Registros!M2:M500)</f>
        <v/>
      </c>
      <c r="D5" t="inlineStr">
        <is>
          <t>Equipe 1</t>
        </is>
      </c>
      <c r="E5">
        <f>SUMIF(Registros!C2:C500,$D5,Registros!M2:M500)</f>
        <v/>
      </c>
    </row>
    <row r="6">
      <c r="A6" t="inlineStr">
        <is>
          <t>Teste</t>
        </is>
      </c>
      <c r="B6">
        <f>SUMIF(Registros!G2:G500,$A6,Registros!M2:M500)</f>
        <v/>
      </c>
      <c r="D6" t="inlineStr">
        <is>
          <t>Equipe 2</t>
        </is>
      </c>
      <c r="E6">
        <f>SUMIF(Registros!C2:C500,$D6,Registros!M2:M500)</f>
        <v/>
      </c>
    </row>
    <row r="7">
      <c r="A7" t="inlineStr">
        <is>
          <t>Reunião</t>
        </is>
      </c>
      <c r="B7">
        <f>SUMIF(Registros!G2:G500,$A7,Registros!M2:M500)</f>
        <v/>
      </c>
      <c r="D7" t="inlineStr">
        <is>
          <t>Equipe 3</t>
        </is>
      </c>
      <c r="E7">
        <f>SUMIF(Registros!C2:C500,$D7,Registros!M2:M500)</f>
        <v/>
      </c>
    </row>
    <row r="8">
      <c r="A8" t="inlineStr">
        <is>
          <t>Suporte</t>
        </is>
      </c>
      <c r="B8">
        <f>SUMIF(Registros!G2:G500,$A8,Registros!M2:M500)</f>
        <v/>
      </c>
    </row>
    <row r="9">
      <c r="A9" t="inlineStr">
        <is>
          <t>Análise</t>
        </is>
      </c>
      <c r="B9">
        <f>SUMIF(Registros!G2:G500,$A9,Registros!M2:M500)</f>
        <v/>
      </c>
      <c r="D9" s="3" t="inlineStr">
        <is>
          <t>Produtividade por Sprint</t>
        </is>
      </c>
    </row>
    <row r="10">
      <c r="A10" t="inlineStr">
        <is>
          <t>Documentação</t>
        </is>
      </c>
      <c r="B10">
        <f>SUMIF(Registros!G2:G500,$A10,Registros!M2:M500)</f>
        <v/>
      </c>
      <c r="D10" s="4" t="inlineStr">
        <is>
          <t>Sprint / Iteração</t>
        </is>
      </c>
      <c r="E10" s="4" t="inlineStr">
        <is>
          <t>Horas Realizadas</t>
        </is>
      </c>
    </row>
    <row r="11">
      <c r="A11" t="inlineStr">
        <is>
          <t>Integração</t>
        </is>
      </c>
      <c r="B11">
        <f>SUMIF(Registros!G2:G500,$A11,Registros!M2:M500)</f>
        <v/>
      </c>
      <c r="E11">
        <f>IF($D11="","",SUMIF(Registros!D2:D500,$D11,Registros!M2:M500))</f>
        <v/>
      </c>
    </row>
    <row r="12">
      <c r="E12">
        <f>IF($D12="","",SUMIF(Registros!D2:D500,$D12,Registros!M2:M500))</f>
        <v/>
      </c>
    </row>
    <row r="13">
      <c r="A13" s="3" t="inlineStr">
        <is>
          <t>Horas por Responsável</t>
        </is>
      </c>
      <c r="E13">
        <f>IF($D13="","",SUMIF(Registros!D2:D500,$D13,Registros!M2:M500))</f>
        <v/>
      </c>
    </row>
    <row r="14">
      <c r="A14" s="4" t="inlineStr">
        <is>
          <t>Responsável</t>
        </is>
      </c>
      <c r="B14" s="4" t="inlineStr">
        <is>
          <t>Horas Realizadas</t>
        </is>
      </c>
      <c r="E14">
        <f>IF($D14="","",SUMIF(Registros!D2:D500,$D14,Registros!M2:M500))</f>
        <v/>
      </c>
    </row>
    <row r="15">
      <c r="B15">
        <f>IF($A15="","",SUMIF(Registros!H2:H500,$A15,Registros!M2:M500))</f>
        <v/>
      </c>
      <c r="E15">
        <f>IF($D15="","",SUMIF(Registros!D2:D500,$D15,Registros!M2:M500))</f>
        <v/>
      </c>
    </row>
    <row r="16">
      <c r="B16">
        <f>IF($A16="","",SUMIF(Registros!H2:H500,$A16,Registros!M2:M500))</f>
        <v/>
      </c>
      <c r="E16">
        <f>IF($D16="","",SUMIF(Registros!D2:D500,$D16,Registros!M2:M500))</f>
        <v/>
      </c>
    </row>
    <row r="17">
      <c r="B17">
        <f>IF($A17="","",SUMIF(Registros!H2:H500,$A17,Registros!M2:M500))</f>
        <v/>
      </c>
      <c r="E17">
        <f>IF($D17="","",SUMIF(Registros!D2:D500,$D17,Registros!M2:M500))</f>
        <v/>
      </c>
    </row>
    <row r="18">
      <c r="B18">
        <f>IF($A18="","",SUMIF(Registros!H2:H500,$A18,Registros!M2:M500))</f>
        <v/>
      </c>
      <c r="E18">
        <f>IF($D18="","",SUMIF(Registros!D2:D500,$D18,Registros!M2:M500))</f>
        <v/>
      </c>
    </row>
    <row r="19">
      <c r="B19">
        <f>IF($A19="","",SUMIF(Registros!H2:H500,$A19,Registros!M2:M500))</f>
        <v/>
      </c>
      <c r="E19">
        <f>IF($D19="","",SUMIF(Registros!D2:D500,$D19,Registros!M2:M500))</f>
        <v/>
      </c>
    </row>
    <row r="20">
      <c r="B20">
        <f>IF($A20="","",SUMIF(Registros!H2:H500,$A20,Registros!M2:M500))</f>
        <v/>
      </c>
      <c r="E20">
        <f>IF($D20="","",SUMIF(Registros!D2:D500,$D20,Registros!M2:M500))</f>
        <v/>
      </c>
    </row>
    <row r="21">
      <c r="B21">
        <f>IF($A21="","",SUMIF(Registros!H2:H500,$A21,Registros!M2:M500))</f>
        <v/>
      </c>
      <c r="E21">
        <f>IF($D21="","",SUMIF(Registros!D2:D500,$D21,Registros!M2:M500))</f>
        <v/>
      </c>
    </row>
    <row r="22">
      <c r="B22">
        <f>IF($A22="","",SUMIF(Registros!H2:H500,$A22,Registros!M2:M500))</f>
        <v/>
      </c>
      <c r="E22">
        <f>IF($D22="","",SUMIF(Registros!D2:D500,$D22,Registros!M2:M500))</f>
        <v/>
      </c>
    </row>
    <row r="23">
      <c r="B23">
        <f>IF($A23="","",SUMIF(Registros!H2:H500,$A23,Registros!M2:M500))</f>
        <v/>
      </c>
    </row>
    <row r="24">
      <c r="B24">
        <f>IF($A24="","",SUMIF(Registros!H2:H500,$A24,Registros!M2:M500))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4" max="4"/>
    <col width="15" customWidth="1" min="5" max="5"/>
    <col width="15" customWidth="1" min="6" max="6"/>
  </cols>
  <sheetData>
    <row r="1">
      <c r="A1" s="5" t="inlineStr">
        <is>
          <t>Painel de Tempo</t>
        </is>
      </c>
    </row>
    <row r="3">
      <c r="A3" s="3" t="inlineStr">
        <is>
          <t>Indicadores (KPIs)</t>
        </is>
      </c>
      <c r="D3" s="3" t="inlineStr">
        <is>
          <t>Evolução Temporal das Horas</t>
        </is>
      </c>
    </row>
    <row r="4">
      <c r="A4" s="4" t="inlineStr">
        <is>
          <t>Total de Horas Realizadas</t>
        </is>
      </c>
      <c r="B4">
        <f>Indicadores!B4</f>
        <v/>
      </c>
      <c r="D4" s="4" t="inlineStr">
        <is>
          <t>Mês</t>
        </is>
      </c>
      <c r="E4" s="4" t="inlineStr">
        <is>
          <t>Horas Planejadas</t>
        </is>
      </c>
      <c r="F4" s="4" t="inlineStr">
        <is>
          <t>Horas Realizadas</t>
        </is>
      </c>
    </row>
    <row r="5">
      <c r="A5" s="4" t="inlineStr">
        <is>
          <t>Eficiência (%) (Plan/Real)</t>
        </is>
      </c>
      <c r="B5">
        <f>Indicadores!B7</f>
        <v/>
      </c>
      <c r="D5" t="inlineStr">
        <is>
          <t>2026-01</t>
        </is>
      </c>
      <c r="E5">
        <f>SUMIFS(Registros!$L$2:$L$500,Registros!$E$2:$E$500,"&gt;="&amp;DATE(2026,1,1),Registros!$E$2:$E$500,"&lt;="&amp;DATE(2026,1,DAY(EOMONTH(DATE(2026,1,1),0))))</f>
        <v/>
      </c>
      <c r="F5">
        <f>SUMIFS(Registros!$M$2:$M$500,Registros!$E$2:$E$500,"&gt;="&amp;DATE(2026,1,1),Registros!$E$2:$E$500,"&lt;="&amp;DATE(2026,1,DAY(EOMONTH(DATE(2026,1,1),0))))</f>
        <v/>
      </c>
    </row>
    <row r="6">
      <c r="A6" s="4" t="inlineStr">
        <is>
          <t>Média de Duração por Atividade (h)</t>
        </is>
      </c>
      <c r="B6">
        <f>Indicadores!B6</f>
        <v/>
      </c>
      <c r="D6" t="inlineStr">
        <is>
          <t>2026-02</t>
        </is>
      </c>
      <c r="E6">
        <f>SUMIFS(Registros!$L$2:$L$500,Registros!$E$2:$E$500,"&gt;="&amp;DATE(2026,2,1),Registros!$E$2:$E$500,"&lt;="&amp;DATE(2026,2,DAY(EOMONTH(DATE(2026,2,1),0))))</f>
        <v/>
      </c>
      <c r="F6">
        <f>SUMIFS(Registros!$M$2:$M$500,Registros!$E$2:$E$500,"&gt;="&amp;DATE(2026,2,1),Registros!$E$2:$E$500,"&lt;="&amp;DATE(2026,2,DAY(EOMONTH(DATE(2026,2,1),0))))</f>
        <v/>
      </c>
    </row>
    <row r="7">
      <c r="A7" s="4" t="inlineStr">
        <is>
          <t>Taxa de Atraso (%)</t>
        </is>
      </c>
      <c r="B7">
        <f>Indicadores!B8</f>
        <v/>
      </c>
      <c r="D7" t="inlineStr">
        <is>
          <t>2026-03</t>
        </is>
      </c>
      <c r="E7">
        <f>SUMIFS(Registros!$L$2:$L$500,Registros!$E$2:$E$500,"&gt;="&amp;DATE(2026,3,1),Registros!$E$2:$E$500,"&lt;="&amp;DATE(2026,3,DAY(EOMONTH(DATE(2026,3,1),0))))</f>
        <v/>
      </c>
      <c r="F7">
        <f>SUMIFS(Registros!$M$2:$M$500,Registros!$E$2:$E$500,"&gt;="&amp;DATE(2026,3,1),Registros!$E$2:$E$500,"&lt;="&amp;DATE(2026,3,DAY(EOMONTH(DATE(2026,3,1),0))))</f>
        <v/>
      </c>
    </row>
    <row r="8">
      <c r="A8" s="4" t="inlineStr">
        <is>
          <t>Desvio (Real - Plan)</t>
        </is>
      </c>
      <c r="B8">
        <f>Indicadores!B5</f>
        <v/>
      </c>
      <c r="D8" t="inlineStr">
        <is>
          <t>2026-04</t>
        </is>
      </c>
      <c r="E8">
        <f>SUMIFS(Registros!$L$2:$L$500,Registros!$E$2:$E$500,"&gt;="&amp;DATE(2026,4,1),Registros!$E$2:$E$500,"&lt;="&amp;DATE(2026,4,DAY(EOMONTH(DATE(2026,4,1),0))))</f>
        <v/>
      </c>
      <c r="F8">
        <f>SUMIFS(Registros!$M$2:$M$500,Registros!$E$2:$E$500,"&gt;="&amp;DATE(2026,4,1),Registros!$E$2:$E$500,"&lt;="&amp;DATE(2026,4,DAY(EOMONTH(DATE(2026,4,1),0))))</f>
        <v/>
      </c>
    </row>
    <row r="9">
      <c r="D9" t="inlineStr">
        <is>
          <t>2026-05</t>
        </is>
      </c>
      <c r="E9">
        <f>SUMIFS(Registros!$L$2:$L$500,Registros!$E$2:$E$500,"&gt;="&amp;DATE(2026,5,1),Registros!$E$2:$E$500,"&lt;="&amp;DATE(2026,5,DAY(EOMONTH(DATE(2026,5,1),0))))</f>
        <v/>
      </c>
      <c r="F9">
        <f>SUMIFS(Registros!$M$2:$M$500,Registros!$E$2:$E$500,"&gt;="&amp;DATE(2026,5,1),Registros!$E$2:$E$500,"&lt;="&amp;DATE(2026,5,DAY(EOMONTH(DATE(2026,5,1),0))))</f>
        <v/>
      </c>
    </row>
    <row r="10">
      <c r="D10" t="inlineStr">
        <is>
          <t>2026-06</t>
        </is>
      </c>
      <c r="E10">
        <f>SUMIFS(Registros!$L$2:$L$500,Registros!$E$2:$E$500,"&gt;="&amp;DATE(2026,6,1),Registros!$E$2:$E$500,"&lt;="&amp;DATE(2026,6,DAY(EOMONTH(DATE(2026,6,1),0))))</f>
        <v/>
      </c>
      <c r="F10">
        <f>SUMIFS(Registros!$M$2:$M$500,Registros!$E$2:$E$500,"&gt;="&amp;DATE(2026,6,1),Registros!$E$2:$E$500,"&lt;="&amp;DATE(2026,6,DAY(EOMONTH(DATE(2026,6,1),0))))</f>
        <v/>
      </c>
    </row>
    <row r="11">
      <c r="D11" t="inlineStr">
        <is>
          <t>2026-07</t>
        </is>
      </c>
      <c r="E11">
        <f>SUMIFS(Registros!$L$2:$L$500,Registros!$E$2:$E$500,"&gt;="&amp;DATE(2026,7,1),Registros!$E$2:$E$500,"&lt;="&amp;DATE(2026,7,DAY(EOMONTH(DATE(2026,7,1),0))))</f>
        <v/>
      </c>
      <c r="F11">
        <f>SUMIFS(Registros!$M$2:$M$500,Registros!$E$2:$E$500,"&gt;="&amp;DATE(2026,7,1),Registros!$E$2:$E$500,"&lt;="&amp;DATE(2026,7,DAY(EOMONTH(DATE(2026,7,1),0))))</f>
        <v/>
      </c>
    </row>
    <row r="12">
      <c r="D12" t="inlineStr">
        <is>
          <t>2026-08</t>
        </is>
      </c>
      <c r="E12">
        <f>SUMIFS(Registros!$L$2:$L$500,Registros!$E$2:$E$500,"&gt;="&amp;DATE(2026,8,1),Registros!$E$2:$E$500,"&lt;="&amp;DATE(2026,8,DAY(EOMONTH(DATE(2026,8,1),0))))</f>
        <v/>
      </c>
      <c r="F12">
        <f>SUMIFS(Registros!$M$2:$M$500,Registros!$E$2:$E$500,"&gt;="&amp;DATE(2026,8,1),Registros!$E$2:$E$500,"&lt;="&amp;DATE(2026,8,DAY(EOMONTH(DATE(2026,8,1),0))))</f>
        <v/>
      </c>
    </row>
    <row r="13">
      <c r="D13" t="inlineStr">
        <is>
          <t>2026-09</t>
        </is>
      </c>
      <c r="E13">
        <f>SUMIFS(Registros!$L$2:$L$500,Registros!$E$2:$E$500,"&gt;="&amp;DATE(2026,9,1),Registros!$E$2:$E$500,"&lt;="&amp;DATE(2026,9,DAY(EOMONTH(DATE(2026,9,1),0))))</f>
        <v/>
      </c>
      <c r="F13">
        <f>SUMIFS(Registros!$M$2:$M$500,Registros!$E$2:$E$500,"&gt;="&amp;DATE(2026,9,1),Registros!$E$2:$E$500,"&lt;="&amp;DATE(2026,9,DAY(EOMONTH(DATE(2026,9,1),0))))</f>
        <v/>
      </c>
    </row>
    <row r="14">
      <c r="D14" t="inlineStr">
        <is>
          <t>2026-10</t>
        </is>
      </c>
      <c r="E14">
        <f>SUMIFS(Registros!$L$2:$L$500,Registros!$E$2:$E$500,"&gt;="&amp;DATE(2026,10,1),Registros!$E$2:$E$500,"&lt;="&amp;DATE(2026,10,DAY(EOMONTH(DATE(2026,10,1),0))))</f>
        <v/>
      </c>
      <c r="F14">
        <f>SUMIFS(Registros!$M$2:$M$500,Registros!$E$2:$E$500,"&gt;="&amp;DATE(2026,10,1),Registros!$E$2:$E$500,"&lt;="&amp;DATE(2026,10,DAY(EOMONTH(DATE(2026,10,1),0))))</f>
        <v/>
      </c>
    </row>
    <row r="15">
      <c r="D15" t="inlineStr">
        <is>
          <t>2026-11</t>
        </is>
      </c>
      <c r="E15">
        <f>SUMIFS(Registros!$L$2:$L$500,Registros!$E$2:$E$500,"&gt;="&amp;DATE(2026,11,1),Registros!$E$2:$E$500,"&lt;="&amp;DATE(2026,11,DAY(EOMONTH(DATE(2026,11,1),0))))</f>
        <v/>
      </c>
      <c r="F15">
        <f>SUMIFS(Registros!$M$2:$M$500,Registros!$E$2:$E$500,"&gt;="&amp;DATE(2026,11,1),Registros!$E$2:$E$500,"&lt;="&amp;DATE(2026,11,DAY(EOMONTH(DATE(2026,11,1),0))))</f>
        <v/>
      </c>
    </row>
    <row r="16">
      <c r="D16" t="inlineStr">
        <is>
          <t>2026-12</t>
        </is>
      </c>
      <c r="E16">
        <f>SUMIFS(Registros!$L$2:$L$500,Registros!$E$2:$E$500,"&gt;="&amp;DATE(2026,12,1),Registros!$E$2:$E$500,"&lt;="&amp;DATE(2026,12,DAY(EOMONTH(DATE(2026,12,1),0))))</f>
        <v/>
      </c>
      <c r="F16">
        <f>SUMIFS(Registros!$M$2:$M$500,Registros!$E$2:$E$500,"&gt;="&amp;DATE(2026,12,1),Registros!$E$2:$E$500,"&lt;="&amp;DATE(2026,12,DAY(EOMONTH(DATE(2026,12,1),0))))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Tipo</t>
        </is>
      </c>
      <c r="B1" s="6" t="inlineStr">
        <is>
          <t>Status</t>
        </is>
      </c>
      <c r="C1" s="6" t="inlineStr">
        <is>
          <t>Projetos</t>
        </is>
      </c>
      <c r="D1" s="6" t="inlineStr">
        <is>
          <t>Equipes</t>
        </is>
      </c>
    </row>
    <row r="2">
      <c r="A2" t="inlineStr">
        <is>
          <t>Desenvolvimento</t>
        </is>
      </c>
      <c r="B2" t="inlineStr">
        <is>
          <t>Concluído</t>
        </is>
      </c>
      <c r="C2" t="inlineStr">
        <is>
          <t>Projeto A</t>
        </is>
      </c>
      <c r="D2" t="inlineStr">
        <is>
          <t>Equipe 1</t>
        </is>
      </c>
    </row>
    <row r="3">
      <c r="A3" t="inlineStr">
        <is>
          <t>Teste</t>
        </is>
      </c>
      <c r="B3" t="inlineStr">
        <is>
          <t>Em andamento</t>
        </is>
      </c>
      <c r="C3" t="inlineStr">
        <is>
          <t>Projeto B</t>
        </is>
      </c>
      <c r="D3" t="inlineStr">
        <is>
          <t>Equipe 2</t>
        </is>
      </c>
    </row>
    <row r="4">
      <c r="A4" t="inlineStr">
        <is>
          <t>Reunião</t>
        </is>
      </c>
      <c r="B4" t="inlineStr">
        <is>
          <t>Bloqueado</t>
        </is>
      </c>
      <c r="C4" t="inlineStr">
        <is>
          <t>Projeto C</t>
        </is>
      </c>
      <c r="D4" t="inlineStr">
        <is>
          <t>Equipe 3</t>
        </is>
      </c>
    </row>
    <row r="5">
      <c r="A5" t="inlineStr">
        <is>
          <t>Suporte</t>
        </is>
      </c>
    </row>
    <row r="6">
      <c r="A6" t="inlineStr">
        <is>
          <t>Análise</t>
        </is>
      </c>
    </row>
    <row r="7">
      <c r="A7" t="inlineStr">
        <is>
          <t>Documentação</t>
        </is>
      </c>
    </row>
    <row r="8">
      <c r="A8" t="inlineStr">
        <is>
          <t>Integração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2026-06-06T16:49:40Z</dcterms:created>
  <dcterms:modified xsi:type="dcterms:W3CDTF">2026-06-06T16:49:40Z</dcterms:modified>
</cp:coreProperties>
</file>