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imativas" sheetId="1" state="visible" r:id="rId1"/>
    <sheet name="Historico" sheetId="2" state="visible" r:id="rId2"/>
    <sheet name="Analises" sheetId="3" state="visible" r:id="rId3"/>
    <sheet name="Dashboards" sheetId="4" state="visible" r:id="rId4"/>
    <sheet name="Listas" sheetId="5" state="visible" r:id="rId5"/>
  </sheets>
  <definedNames>
    <definedName name="_xlnm._FilterDatabase" localSheetId="0" hidden="1">'Estimativas'!$A$1:$M$1</definedName>
    <definedName name="_xlnm._FilterDatabase" localSheetId="1" hidden="1">'Historico'!$A$1:$I$1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4"/>
    </font>
    <font>
      <b val="1"/>
      <color rgb="001F4E78"/>
    </font>
    <font>
      <b val="1"/>
    </font>
    <font>
      <b val="1"/>
      <color rgb="001F4E78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3">
    <dxf>
      <font>
        <color rgb="009C0006"/>
      </font>
      <fill>
        <patternFill patternType="solid">
          <fgColor rgb="00FFC7CE"/>
        </patternFill>
      </fill>
    </dxf>
    <dxf>
      <fill>
        <patternFill patternType="solid">
          <fgColor rgb="00FFD9A0"/>
        </patternFill>
      </fill>
    </dxf>
    <dxf>
      <font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Desvio Médio por Técnica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'Analises'!E3</f>
            </strRef>
          </tx>
          <spPr>
            <a:ln>
              <a:prstDash val="solid"/>
            </a:ln>
          </spPr>
          <cat>
            <strRef>
              <f>'Analises'!$D$4:$D$11</f>
            </strRef>
          </cat>
          <val>
            <numRef>
              <f>'Analises'!$E$4:$E$11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Precisão por Responsável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'Analises'!J3</f>
            </strRef>
          </tx>
          <spPr>
            <a:ln>
              <a:prstDash val="solid"/>
            </a:ln>
          </spPr>
          <cat>
            <strRef>
              <f>'Analises'!$H$4:$H$13</f>
            </strRef>
          </cat>
          <val>
            <numRef>
              <f>'Analises'!$J$4:$J$13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Evolução da Precisão</a:t>
            </a:r>
          </a:p>
        </rich>
      </tx>
    </title>
    <plotArea>
      <lineChart>
        <grouping val="standard"/>
        <ser>
          <idx val="0"/>
          <order val="0"/>
          <tx>
            <strRef>
              <f>'Analises'!C15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'Analises'!$A$16:$A$27</f>
            </strRef>
          </cat>
          <val>
            <numRef>
              <f>'Analises'!$C$16:$C$27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Super / Sub Avaliadas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strRef>
              <f>'Analises'!$A$10:$A$11</f>
            </strRef>
          </cat>
          <val>
            <numRef>
              <f>'Analises'!$B$10:$B$11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8</row>
      <rowOff>0</rowOff>
    </from>
    <ext cx="504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24</row>
      <rowOff>0</rowOff>
    </from>
    <ext cx="540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24</row>
      <rowOff>0</rowOff>
    </from>
    <ext cx="396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22" customWidth="1" min="5" max="5"/>
    <col width="18" customWidth="1" min="6" max="6"/>
    <col width="13" customWidth="1" min="7" max="7"/>
    <col width="13" customWidth="1" min="8" max="8"/>
    <col width="13" customWidth="1" min="9" max="9"/>
    <col width="14" customWidth="1" min="10" max="10"/>
    <col width="13" customWidth="1" min="11" max="11"/>
    <col width="13" customWidth="1" min="12" max="12"/>
    <col width="19" customWidth="1" min="13" max="13"/>
  </cols>
  <sheetData>
    <row r="1" ht="30" customHeight="1">
      <c r="A1" s="1" t="inlineStr">
        <is>
          <t>ID</t>
        </is>
      </c>
      <c r="B1" s="1" t="inlineStr">
        <is>
          <t>Atividade</t>
        </is>
      </c>
      <c r="C1" s="1" t="inlineStr">
        <is>
          <t>Responsável</t>
        </is>
      </c>
      <c r="D1" s="1" t="inlineStr">
        <is>
          <t>Técnica</t>
        </is>
      </c>
      <c r="E1" s="1" t="inlineStr">
        <is>
          <t>Esforço Estimado (h)</t>
        </is>
      </c>
      <c r="F1" s="1" t="inlineStr">
        <is>
          <t>Esforço Real (h)</t>
        </is>
      </c>
      <c r="G1" s="1" t="inlineStr">
        <is>
          <t>Desvio (%)</t>
        </is>
      </c>
      <c r="H1" s="1" t="inlineStr">
        <is>
          <t>Data</t>
        </is>
      </c>
      <c r="I1" s="1" t="inlineStr">
        <is>
          <t>Sprint</t>
        </is>
      </c>
      <c r="J1" s="1" t="inlineStr">
        <is>
          <t>Complexidade</t>
        </is>
      </c>
      <c r="K1" s="1" t="inlineStr">
        <is>
          <t>Status</t>
        </is>
      </c>
      <c r="L1" s="1" t="inlineStr">
        <is>
          <t>Observações</t>
        </is>
      </c>
      <c r="M1" s="1" t="inlineStr">
        <is>
          <t>Erro Absoluto (%)</t>
        </is>
      </c>
    </row>
    <row r="2">
      <c r="G2">
        <f>IF(AND(E2&lt;&gt;"",E2&lt;&gt;0,F2&lt;&gt;""),(F2-E2)/E2*100,"")</f>
        <v/>
      </c>
      <c r="M2">
        <f>IF(ISNUMBER(G2),ABS(G2),"")</f>
        <v/>
      </c>
    </row>
    <row r="3">
      <c r="G3">
        <f>IF(AND(E3&lt;&gt;"",E3&lt;&gt;0,F3&lt;&gt;""),(F3-E3)/E3*100,"")</f>
        <v/>
      </c>
      <c r="M3">
        <f>IF(ISNUMBER(G3),ABS(G3),"")</f>
        <v/>
      </c>
    </row>
    <row r="4">
      <c r="G4">
        <f>IF(AND(E4&lt;&gt;"",E4&lt;&gt;0,F4&lt;&gt;""),(F4-E4)/E4*100,"")</f>
        <v/>
      </c>
      <c r="M4">
        <f>IF(ISNUMBER(G4),ABS(G4),"")</f>
        <v/>
      </c>
    </row>
    <row r="5">
      <c r="G5">
        <f>IF(AND(E5&lt;&gt;"",E5&lt;&gt;0,F5&lt;&gt;""),(F5-E5)/E5*100,"")</f>
        <v/>
      </c>
      <c r="M5">
        <f>IF(ISNUMBER(G5),ABS(G5),"")</f>
        <v/>
      </c>
    </row>
    <row r="6">
      <c r="G6">
        <f>IF(AND(E6&lt;&gt;"",E6&lt;&gt;0,F6&lt;&gt;""),(F6-E6)/E6*100,"")</f>
        <v/>
      </c>
      <c r="M6">
        <f>IF(ISNUMBER(G6),ABS(G6),"")</f>
        <v/>
      </c>
    </row>
    <row r="7">
      <c r="G7">
        <f>IF(AND(E7&lt;&gt;"",E7&lt;&gt;0,F7&lt;&gt;""),(F7-E7)/E7*100,"")</f>
        <v/>
      </c>
      <c r="M7">
        <f>IF(ISNUMBER(G7),ABS(G7),"")</f>
        <v/>
      </c>
    </row>
    <row r="8">
      <c r="G8">
        <f>IF(AND(E8&lt;&gt;"",E8&lt;&gt;0,F8&lt;&gt;""),(F8-E8)/E8*100,"")</f>
        <v/>
      </c>
      <c r="M8">
        <f>IF(ISNUMBER(G8),ABS(G8),"")</f>
        <v/>
      </c>
    </row>
    <row r="9">
      <c r="G9">
        <f>IF(AND(E9&lt;&gt;"",E9&lt;&gt;0,F9&lt;&gt;""),(F9-E9)/E9*100,"")</f>
        <v/>
      </c>
      <c r="M9">
        <f>IF(ISNUMBER(G9),ABS(G9),"")</f>
        <v/>
      </c>
    </row>
    <row r="10">
      <c r="G10">
        <f>IF(AND(E10&lt;&gt;"",E10&lt;&gt;0,F10&lt;&gt;""),(F10-E10)/E10*100,"")</f>
        <v/>
      </c>
      <c r="M10">
        <f>IF(ISNUMBER(G10),ABS(G10),"")</f>
        <v/>
      </c>
    </row>
    <row r="11">
      <c r="G11">
        <f>IF(AND(E11&lt;&gt;"",E11&lt;&gt;0,F11&lt;&gt;""),(F11-E11)/E11*100,"")</f>
        <v/>
      </c>
      <c r="M11">
        <f>IF(ISNUMBER(G11),ABS(G11),"")</f>
        <v/>
      </c>
    </row>
    <row r="12">
      <c r="G12">
        <f>IF(AND(E12&lt;&gt;"",E12&lt;&gt;0,F12&lt;&gt;""),(F12-E12)/E12*100,"")</f>
        <v/>
      </c>
      <c r="M12">
        <f>IF(ISNUMBER(G12),ABS(G12),"")</f>
        <v/>
      </c>
    </row>
    <row r="13">
      <c r="G13">
        <f>IF(AND(E13&lt;&gt;"",E13&lt;&gt;0,F13&lt;&gt;""),(F13-E13)/E13*100,"")</f>
        <v/>
      </c>
      <c r="M13">
        <f>IF(ISNUMBER(G13),ABS(G13),"")</f>
        <v/>
      </c>
    </row>
    <row r="14">
      <c r="G14">
        <f>IF(AND(E14&lt;&gt;"",E14&lt;&gt;0,F14&lt;&gt;""),(F14-E14)/E14*100,"")</f>
        <v/>
      </c>
      <c r="M14">
        <f>IF(ISNUMBER(G14),ABS(G14),"")</f>
        <v/>
      </c>
    </row>
    <row r="15">
      <c r="G15">
        <f>IF(AND(E15&lt;&gt;"",E15&lt;&gt;0,F15&lt;&gt;""),(F15-E15)/E15*100,"")</f>
        <v/>
      </c>
      <c r="M15">
        <f>IF(ISNUMBER(G15),ABS(G15),"")</f>
        <v/>
      </c>
    </row>
    <row r="16">
      <c r="G16">
        <f>IF(AND(E16&lt;&gt;"",E16&lt;&gt;0,F16&lt;&gt;""),(F16-E16)/E16*100,"")</f>
        <v/>
      </c>
      <c r="M16">
        <f>IF(ISNUMBER(G16),ABS(G16),"")</f>
        <v/>
      </c>
    </row>
    <row r="17">
      <c r="G17">
        <f>IF(AND(E17&lt;&gt;"",E17&lt;&gt;0,F17&lt;&gt;""),(F17-E17)/E17*100,"")</f>
        <v/>
      </c>
      <c r="M17">
        <f>IF(ISNUMBER(G17),ABS(G17),"")</f>
        <v/>
      </c>
    </row>
    <row r="18">
      <c r="G18">
        <f>IF(AND(E18&lt;&gt;"",E18&lt;&gt;0,F18&lt;&gt;""),(F18-E18)/E18*100,"")</f>
        <v/>
      </c>
      <c r="M18">
        <f>IF(ISNUMBER(G18),ABS(G18),"")</f>
        <v/>
      </c>
    </row>
    <row r="19">
      <c r="G19">
        <f>IF(AND(E19&lt;&gt;"",E19&lt;&gt;0,F19&lt;&gt;""),(F19-E19)/E19*100,"")</f>
        <v/>
      </c>
      <c r="M19">
        <f>IF(ISNUMBER(G19),ABS(G19),"")</f>
        <v/>
      </c>
    </row>
    <row r="20">
      <c r="G20">
        <f>IF(AND(E20&lt;&gt;"",E20&lt;&gt;0,F20&lt;&gt;""),(F20-E20)/E20*100,"")</f>
        <v/>
      </c>
      <c r="M20">
        <f>IF(ISNUMBER(G20),ABS(G20),"")</f>
        <v/>
      </c>
    </row>
    <row r="21">
      <c r="G21">
        <f>IF(AND(E21&lt;&gt;"",E21&lt;&gt;0,F21&lt;&gt;""),(F21-E21)/E21*100,"")</f>
        <v/>
      </c>
      <c r="M21">
        <f>IF(ISNUMBER(G21),ABS(G21),"")</f>
        <v/>
      </c>
    </row>
    <row r="22">
      <c r="G22">
        <f>IF(AND(E22&lt;&gt;"",E22&lt;&gt;0,F22&lt;&gt;""),(F22-E22)/E22*100,"")</f>
        <v/>
      </c>
      <c r="M22">
        <f>IF(ISNUMBER(G22),ABS(G22),"")</f>
        <v/>
      </c>
    </row>
    <row r="23">
      <c r="G23">
        <f>IF(AND(E23&lt;&gt;"",E23&lt;&gt;0,F23&lt;&gt;""),(F23-E23)/E23*100,"")</f>
        <v/>
      </c>
      <c r="M23">
        <f>IF(ISNUMBER(G23),ABS(G23),"")</f>
        <v/>
      </c>
    </row>
    <row r="24">
      <c r="G24">
        <f>IF(AND(E24&lt;&gt;"",E24&lt;&gt;0,F24&lt;&gt;""),(F24-E24)/E24*100,"")</f>
        <v/>
      </c>
      <c r="M24">
        <f>IF(ISNUMBER(G24),ABS(G24),"")</f>
        <v/>
      </c>
    </row>
    <row r="25">
      <c r="G25">
        <f>IF(AND(E25&lt;&gt;"",E25&lt;&gt;0,F25&lt;&gt;""),(F25-E25)/E25*100,"")</f>
        <v/>
      </c>
      <c r="M25">
        <f>IF(ISNUMBER(G25),ABS(G25),"")</f>
        <v/>
      </c>
    </row>
    <row r="26">
      <c r="G26">
        <f>IF(AND(E26&lt;&gt;"",E26&lt;&gt;0,F26&lt;&gt;""),(F26-E26)/E26*100,"")</f>
        <v/>
      </c>
      <c r="M26">
        <f>IF(ISNUMBER(G26),ABS(G26),"")</f>
        <v/>
      </c>
    </row>
    <row r="27">
      <c r="G27">
        <f>IF(AND(E27&lt;&gt;"",E27&lt;&gt;0,F27&lt;&gt;""),(F27-E27)/E27*100,"")</f>
        <v/>
      </c>
      <c r="M27">
        <f>IF(ISNUMBER(G27),ABS(G27),"")</f>
        <v/>
      </c>
    </row>
    <row r="28">
      <c r="G28">
        <f>IF(AND(E28&lt;&gt;"",E28&lt;&gt;0,F28&lt;&gt;""),(F28-E28)/E28*100,"")</f>
        <v/>
      </c>
      <c r="M28">
        <f>IF(ISNUMBER(G28),ABS(G28),"")</f>
        <v/>
      </c>
    </row>
    <row r="29">
      <c r="G29">
        <f>IF(AND(E29&lt;&gt;"",E29&lt;&gt;0,F29&lt;&gt;""),(F29-E29)/E29*100,"")</f>
        <v/>
      </c>
      <c r="M29">
        <f>IF(ISNUMBER(G29),ABS(G29),"")</f>
        <v/>
      </c>
    </row>
    <row r="30">
      <c r="G30">
        <f>IF(AND(E30&lt;&gt;"",E30&lt;&gt;0,F30&lt;&gt;""),(F30-E30)/E30*100,"")</f>
        <v/>
      </c>
      <c r="M30">
        <f>IF(ISNUMBER(G30),ABS(G30),"")</f>
        <v/>
      </c>
    </row>
    <row r="31">
      <c r="G31">
        <f>IF(AND(E31&lt;&gt;"",E31&lt;&gt;0,F31&lt;&gt;""),(F31-E31)/E31*100,"")</f>
        <v/>
      </c>
      <c r="M31">
        <f>IF(ISNUMBER(G31),ABS(G31),"")</f>
        <v/>
      </c>
    </row>
    <row r="32">
      <c r="G32">
        <f>IF(AND(E32&lt;&gt;"",E32&lt;&gt;0,F32&lt;&gt;""),(F32-E32)/E32*100,"")</f>
        <v/>
      </c>
      <c r="M32">
        <f>IF(ISNUMBER(G32),ABS(G32),"")</f>
        <v/>
      </c>
    </row>
    <row r="33">
      <c r="G33">
        <f>IF(AND(E33&lt;&gt;"",E33&lt;&gt;0,F33&lt;&gt;""),(F33-E33)/E33*100,"")</f>
        <v/>
      </c>
      <c r="M33">
        <f>IF(ISNUMBER(G33),ABS(G33),"")</f>
        <v/>
      </c>
    </row>
    <row r="34">
      <c r="G34">
        <f>IF(AND(E34&lt;&gt;"",E34&lt;&gt;0,F34&lt;&gt;""),(F34-E34)/E34*100,"")</f>
        <v/>
      </c>
      <c r="M34">
        <f>IF(ISNUMBER(G34),ABS(G34),"")</f>
        <v/>
      </c>
    </row>
    <row r="35">
      <c r="G35">
        <f>IF(AND(E35&lt;&gt;"",E35&lt;&gt;0,F35&lt;&gt;""),(F35-E35)/E35*100,"")</f>
        <v/>
      </c>
      <c r="M35">
        <f>IF(ISNUMBER(G35),ABS(G35),"")</f>
        <v/>
      </c>
    </row>
    <row r="36">
      <c r="G36">
        <f>IF(AND(E36&lt;&gt;"",E36&lt;&gt;0,F36&lt;&gt;""),(F36-E36)/E36*100,"")</f>
        <v/>
      </c>
      <c r="M36">
        <f>IF(ISNUMBER(G36),ABS(G36),"")</f>
        <v/>
      </c>
    </row>
    <row r="37">
      <c r="G37">
        <f>IF(AND(E37&lt;&gt;"",E37&lt;&gt;0,F37&lt;&gt;""),(F37-E37)/E37*100,"")</f>
        <v/>
      </c>
      <c r="M37">
        <f>IF(ISNUMBER(G37),ABS(G37),"")</f>
        <v/>
      </c>
    </row>
    <row r="38">
      <c r="G38">
        <f>IF(AND(E38&lt;&gt;"",E38&lt;&gt;0,F38&lt;&gt;""),(F38-E38)/E38*100,"")</f>
        <v/>
      </c>
      <c r="M38">
        <f>IF(ISNUMBER(G38),ABS(G38),"")</f>
        <v/>
      </c>
    </row>
    <row r="39">
      <c r="G39">
        <f>IF(AND(E39&lt;&gt;"",E39&lt;&gt;0,F39&lt;&gt;""),(F39-E39)/E39*100,"")</f>
        <v/>
      </c>
      <c r="M39">
        <f>IF(ISNUMBER(G39),ABS(G39),"")</f>
        <v/>
      </c>
    </row>
    <row r="40">
      <c r="G40">
        <f>IF(AND(E40&lt;&gt;"",E40&lt;&gt;0,F40&lt;&gt;""),(F40-E40)/E40*100,"")</f>
        <v/>
      </c>
      <c r="M40">
        <f>IF(ISNUMBER(G40),ABS(G40),"")</f>
        <v/>
      </c>
    </row>
    <row r="41">
      <c r="G41">
        <f>IF(AND(E41&lt;&gt;"",E41&lt;&gt;0,F41&lt;&gt;""),(F41-E41)/E41*100,"")</f>
        <v/>
      </c>
      <c r="M41">
        <f>IF(ISNUMBER(G41),ABS(G41),"")</f>
        <v/>
      </c>
    </row>
    <row r="42">
      <c r="G42">
        <f>IF(AND(E42&lt;&gt;"",E42&lt;&gt;0,F42&lt;&gt;""),(F42-E42)/E42*100,"")</f>
        <v/>
      </c>
      <c r="M42">
        <f>IF(ISNUMBER(G42),ABS(G42),"")</f>
        <v/>
      </c>
    </row>
    <row r="43">
      <c r="G43">
        <f>IF(AND(E43&lt;&gt;"",E43&lt;&gt;0,F43&lt;&gt;""),(F43-E43)/E43*100,"")</f>
        <v/>
      </c>
      <c r="M43">
        <f>IF(ISNUMBER(G43),ABS(G43),"")</f>
        <v/>
      </c>
    </row>
    <row r="44">
      <c r="G44">
        <f>IF(AND(E44&lt;&gt;"",E44&lt;&gt;0,F44&lt;&gt;""),(F44-E44)/E44*100,"")</f>
        <v/>
      </c>
      <c r="M44">
        <f>IF(ISNUMBER(G44),ABS(G44),"")</f>
        <v/>
      </c>
    </row>
    <row r="45">
      <c r="G45">
        <f>IF(AND(E45&lt;&gt;"",E45&lt;&gt;0,F45&lt;&gt;""),(F45-E45)/E45*100,"")</f>
        <v/>
      </c>
      <c r="M45">
        <f>IF(ISNUMBER(G45),ABS(G45),"")</f>
        <v/>
      </c>
    </row>
    <row r="46">
      <c r="G46">
        <f>IF(AND(E46&lt;&gt;"",E46&lt;&gt;0,F46&lt;&gt;""),(F46-E46)/E46*100,"")</f>
        <v/>
      </c>
      <c r="M46">
        <f>IF(ISNUMBER(G46),ABS(G46),"")</f>
        <v/>
      </c>
    </row>
    <row r="47">
      <c r="G47">
        <f>IF(AND(E47&lt;&gt;"",E47&lt;&gt;0,F47&lt;&gt;""),(F47-E47)/E47*100,"")</f>
        <v/>
      </c>
      <c r="M47">
        <f>IF(ISNUMBER(G47),ABS(G47),"")</f>
        <v/>
      </c>
    </row>
    <row r="48">
      <c r="G48">
        <f>IF(AND(E48&lt;&gt;"",E48&lt;&gt;0,F48&lt;&gt;""),(F48-E48)/E48*100,"")</f>
        <v/>
      </c>
      <c r="M48">
        <f>IF(ISNUMBER(G48),ABS(G48),"")</f>
        <v/>
      </c>
    </row>
    <row r="49">
      <c r="G49">
        <f>IF(AND(E49&lt;&gt;"",E49&lt;&gt;0,F49&lt;&gt;""),(F49-E49)/E49*100,"")</f>
        <v/>
      </c>
      <c r="M49">
        <f>IF(ISNUMBER(G49),ABS(G49),"")</f>
        <v/>
      </c>
    </row>
    <row r="50">
      <c r="G50">
        <f>IF(AND(E50&lt;&gt;"",E50&lt;&gt;0,F50&lt;&gt;""),(F50-E50)/E50*100,"")</f>
        <v/>
      </c>
      <c r="M50">
        <f>IF(ISNUMBER(G50),ABS(G50),"")</f>
        <v/>
      </c>
    </row>
    <row r="51">
      <c r="G51">
        <f>IF(AND(E51&lt;&gt;"",E51&lt;&gt;0,F51&lt;&gt;""),(F51-E51)/E51*100,"")</f>
        <v/>
      </c>
      <c r="M51">
        <f>IF(ISNUMBER(G51),ABS(G51),"")</f>
        <v/>
      </c>
    </row>
    <row r="52">
      <c r="G52">
        <f>IF(AND(E52&lt;&gt;"",E52&lt;&gt;0,F52&lt;&gt;""),(F52-E52)/E52*100,"")</f>
        <v/>
      </c>
      <c r="M52">
        <f>IF(ISNUMBER(G52),ABS(G52),"")</f>
        <v/>
      </c>
    </row>
    <row r="53">
      <c r="G53">
        <f>IF(AND(E53&lt;&gt;"",E53&lt;&gt;0,F53&lt;&gt;""),(F53-E53)/E53*100,"")</f>
        <v/>
      </c>
      <c r="M53">
        <f>IF(ISNUMBER(G53),ABS(G53),"")</f>
        <v/>
      </c>
    </row>
    <row r="54">
      <c r="G54">
        <f>IF(AND(E54&lt;&gt;"",E54&lt;&gt;0,F54&lt;&gt;""),(F54-E54)/E54*100,"")</f>
        <v/>
      </c>
      <c r="M54">
        <f>IF(ISNUMBER(G54),ABS(G54),"")</f>
        <v/>
      </c>
    </row>
    <row r="55">
      <c r="G55">
        <f>IF(AND(E55&lt;&gt;"",E55&lt;&gt;0,F55&lt;&gt;""),(F55-E55)/E55*100,"")</f>
        <v/>
      </c>
      <c r="M55">
        <f>IF(ISNUMBER(G55),ABS(G55),"")</f>
        <v/>
      </c>
    </row>
    <row r="56">
      <c r="G56">
        <f>IF(AND(E56&lt;&gt;"",E56&lt;&gt;0,F56&lt;&gt;""),(F56-E56)/E56*100,"")</f>
        <v/>
      </c>
      <c r="M56">
        <f>IF(ISNUMBER(G56),ABS(G56),"")</f>
        <v/>
      </c>
    </row>
    <row r="57">
      <c r="G57">
        <f>IF(AND(E57&lt;&gt;"",E57&lt;&gt;0,F57&lt;&gt;""),(F57-E57)/E57*100,"")</f>
        <v/>
      </c>
      <c r="M57">
        <f>IF(ISNUMBER(G57),ABS(G57),"")</f>
        <v/>
      </c>
    </row>
    <row r="58">
      <c r="G58">
        <f>IF(AND(E58&lt;&gt;"",E58&lt;&gt;0,F58&lt;&gt;""),(F58-E58)/E58*100,"")</f>
        <v/>
      </c>
      <c r="M58">
        <f>IF(ISNUMBER(G58),ABS(G58),"")</f>
        <v/>
      </c>
    </row>
    <row r="59">
      <c r="G59">
        <f>IF(AND(E59&lt;&gt;"",E59&lt;&gt;0,F59&lt;&gt;""),(F59-E59)/E59*100,"")</f>
        <v/>
      </c>
      <c r="M59">
        <f>IF(ISNUMBER(G59),ABS(G59),"")</f>
        <v/>
      </c>
    </row>
    <row r="60">
      <c r="G60">
        <f>IF(AND(E60&lt;&gt;"",E60&lt;&gt;0,F60&lt;&gt;""),(F60-E60)/E60*100,"")</f>
        <v/>
      </c>
      <c r="M60">
        <f>IF(ISNUMBER(G60),ABS(G60),"")</f>
        <v/>
      </c>
    </row>
    <row r="61">
      <c r="G61">
        <f>IF(AND(E61&lt;&gt;"",E61&lt;&gt;0,F61&lt;&gt;""),(F61-E61)/E61*100,"")</f>
        <v/>
      </c>
      <c r="M61">
        <f>IF(ISNUMBER(G61),ABS(G61),"")</f>
        <v/>
      </c>
    </row>
    <row r="62">
      <c r="G62">
        <f>IF(AND(E62&lt;&gt;"",E62&lt;&gt;0,F62&lt;&gt;""),(F62-E62)/E62*100,"")</f>
        <v/>
      </c>
      <c r="M62">
        <f>IF(ISNUMBER(G62),ABS(G62),"")</f>
        <v/>
      </c>
    </row>
    <row r="63">
      <c r="G63">
        <f>IF(AND(E63&lt;&gt;"",E63&lt;&gt;0,F63&lt;&gt;""),(F63-E63)/E63*100,"")</f>
        <v/>
      </c>
      <c r="M63">
        <f>IF(ISNUMBER(G63),ABS(G63),"")</f>
        <v/>
      </c>
    </row>
    <row r="64">
      <c r="G64">
        <f>IF(AND(E64&lt;&gt;"",E64&lt;&gt;0,F64&lt;&gt;""),(F64-E64)/E64*100,"")</f>
        <v/>
      </c>
      <c r="M64">
        <f>IF(ISNUMBER(G64),ABS(G64),"")</f>
        <v/>
      </c>
    </row>
    <row r="65">
      <c r="G65">
        <f>IF(AND(E65&lt;&gt;"",E65&lt;&gt;0,F65&lt;&gt;""),(F65-E65)/E65*100,"")</f>
        <v/>
      </c>
      <c r="M65">
        <f>IF(ISNUMBER(G65),ABS(G65),"")</f>
        <v/>
      </c>
    </row>
    <row r="66">
      <c r="G66">
        <f>IF(AND(E66&lt;&gt;"",E66&lt;&gt;0,F66&lt;&gt;""),(F66-E66)/E66*100,"")</f>
        <v/>
      </c>
      <c r="M66">
        <f>IF(ISNUMBER(G66),ABS(G66),"")</f>
        <v/>
      </c>
    </row>
    <row r="67">
      <c r="G67">
        <f>IF(AND(E67&lt;&gt;"",E67&lt;&gt;0,F67&lt;&gt;""),(F67-E67)/E67*100,"")</f>
        <v/>
      </c>
      <c r="M67">
        <f>IF(ISNUMBER(G67),ABS(G67),"")</f>
        <v/>
      </c>
    </row>
    <row r="68">
      <c r="G68">
        <f>IF(AND(E68&lt;&gt;"",E68&lt;&gt;0,F68&lt;&gt;""),(F68-E68)/E68*100,"")</f>
        <v/>
      </c>
      <c r="M68">
        <f>IF(ISNUMBER(G68),ABS(G68),"")</f>
        <v/>
      </c>
    </row>
    <row r="69">
      <c r="G69">
        <f>IF(AND(E69&lt;&gt;"",E69&lt;&gt;0,F69&lt;&gt;""),(F69-E69)/E69*100,"")</f>
        <v/>
      </c>
      <c r="M69">
        <f>IF(ISNUMBER(G69),ABS(G69),"")</f>
        <v/>
      </c>
    </row>
    <row r="70">
      <c r="G70">
        <f>IF(AND(E70&lt;&gt;"",E70&lt;&gt;0,F70&lt;&gt;""),(F70-E70)/E70*100,"")</f>
        <v/>
      </c>
      <c r="M70">
        <f>IF(ISNUMBER(G70),ABS(G70),"")</f>
        <v/>
      </c>
    </row>
    <row r="71">
      <c r="G71">
        <f>IF(AND(E71&lt;&gt;"",E71&lt;&gt;0,F71&lt;&gt;""),(F71-E71)/E71*100,"")</f>
        <v/>
      </c>
      <c r="M71">
        <f>IF(ISNUMBER(G71),ABS(G71),"")</f>
        <v/>
      </c>
    </row>
    <row r="72">
      <c r="G72">
        <f>IF(AND(E72&lt;&gt;"",E72&lt;&gt;0,F72&lt;&gt;""),(F72-E72)/E72*100,"")</f>
        <v/>
      </c>
      <c r="M72">
        <f>IF(ISNUMBER(G72),ABS(G72),"")</f>
        <v/>
      </c>
    </row>
    <row r="73">
      <c r="G73">
        <f>IF(AND(E73&lt;&gt;"",E73&lt;&gt;0,F73&lt;&gt;""),(F73-E73)/E73*100,"")</f>
        <v/>
      </c>
      <c r="M73">
        <f>IF(ISNUMBER(G73),ABS(G73),"")</f>
        <v/>
      </c>
    </row>
    <row r="74">
      <c r="G74">
        <f>IF(AND(E74&lt;&gt;"",E74&lt;&gt;0,F74&lt;&gt;""),(F74-E74)/E74*100,"")</f>
        <v/>
      </c>
      <c r="M74">
        <f>IF(ISNUMBER(G74),ABS(G74),"")</f>
        <v/>
      </c>
    </row>
    <row r="75">
      <c r="G75">
        <f>IF(AND(E75&lt;&gt;"",E75&lt;&gt;0,F75&lt;&gt;""),(F75-E75)/E75*100,"")</f>
        <v/>
      </c>
      <c r="M75">
        <f>IF(ISNUMBER(G75),ABS(G75),"")</f>
        <v/>
      </c>
    </row>
    <row r="76">
      <c r="G76">
        <f>IF(AND(E76&lt;&gt;"",E76&lt;&gt;0,F76&lt;&gt;""),(F76-E76)/E76*100,"")</f>
        <v/>
      </c>
      <c r="M76">
        <f>IF(ISNUMBER(G76),ABS(G76),"")</f>
        <v/>
      </c>
    </row>
    <row r="77">
      <c r="G77">
        <f>IF(AND(E77&lt;&gt;"",E77&lt;&gt;0,F77&lt;&gt;""),(F77-E77)/E77*100,"")</f>
        <v/>
      </c>
      <c r="M77">
        <f>IF(ISNUMBER(G77),ABS(G77),"")</f>
        <v/>
      </c>
    </row>
    <row r="78">
      <c r="G78">
        <f>IF(AND(E78&lt;&gt;"",E78&lt;&gt;0,F78&lt;&gt;""),(F78-E78)/E78*100,"")</f>
        <v/>
      </c>
      <c r="M78">
        <f>IF(ISNUMBER(G78),ABS(G78),"")</f>
        <v/>
      </c>
    </row>
    <row r="79">
      <c r="G79">
        <f>IF(AND(E79&lt;&gt;"",E79&lt;&gt;0,F79&lt;&gt;""),(F79-E79)/E79*100,"")</f>
        <v/>
      </c>
      <c r="M79">
        <f>IF(ISNUMBER(G79),ABS(G79),"")</f>
        <v/>
      </c>
    </row>
    <row r="80">
      <c r="G80">
        <f>IF(AND(E80&lt;&gt;"",E80&lt;&gt;0,F80&lt;&gt;""),(F80-E80)/E80*100,"")</f>
        <v/>
      </c>
      <c r="M80">
        <f>IF(ISNUMBER(G80),ABS(G80),"")</f>
        <v/>
      </c>
    </row>
    <row r="81">
      <c r="G81">
        <f>IF(AND(E81&lt;&gt;"",E81&lt;&gt;0,F81&lt;&gt;""),(F81-E81)/E81*100,"")</f>
        <v/>
      </c>
      <c r="M81">
        <f>IF(ISNUMBER(G81),ABS(G81),"")</f>
        <v/>
      </c>
    </row>
    <row r="82">
      <c r="G82">
        <f>IF(AND(E82&lt;&gt;"",E82&lt;&gt;0,F82&lt;&gt;""),(F82-E82)/E82*100,"")</f>
        <v/>
      </c>
      <c r="M82">
        <f>IF(ISNUMBER(G82),ABS(G82),"")</f>
        <v/>
      </c>
    </row>
    <row r="83">
      <c r="G83">
        <f>IF(AND(E83&lt;&gt;"",E83&lt;&gt;0,F83&lt;&gt;""),(F83-E83)/E83*100,"")</f>
        <v/>
      </c>
      <c r="M83">
        <f>IF(ISNUMBER(G83),ABS(G83),"")</f>
        <v/>
      </c>
    </row>
    <row r="84">
      <c r="G84">
        <f>IF(AND(E84&lt;&gt;"",E84&lt;&gt;0,F84&lt;&gt;""),(F84-E84)/E84*100,"")</f>
        <v/>
      </c>
      <c r="M84">
        <f>IF(ISNUMBER(G84),ABS(G84),"")</f>
        <v/>
      </c>
    </row>
    <row r="85">
      <c r="G85">
        <f>IF(AND(E85&lt;&gt;"",E85&lt;&gt;0,F85&lt;&gt;""),(F85-E85)/E85*100,"")</f>
        <v/>
      </c>
      <c r="M85">
        <f>IF(ISNUMBER(G85),ABS(G85),"")</f>
        <v/>
      </c>
    </row>
    <row r="86">
      <c r="G86">
        <f>IF(AND(E86&lt;&gt;"",E86&lt;&gt;0,F86&lt;&gt;""),(F86-E86)/E86*100,"")</f>
        <v/>
      </c>
      <c r="M86">
        <f>IF(ISNUMBER(G86),ABS(G86),"")</f>
        <v/>
      </c>
    </row>
    <row r="87">
      <c r="G87">
        <f>IF(AND(E87&lt;&gt;"",E87&lt;&gt;0,F87&lt;&gt;""),(F87-E87)/E87*100,"")</f>
        <v/>
      </c>
      <c r="M87">
        <f>IF(ISNUMBER(G87),ABS(G87),"")</f>
        <v/>
      </c>
    </row>
    <row r="88">
      <c r="G88">
        <f>IF(AND(E88&lt;&gt;"",E88&lt;&gt;0,F88&lt;&gt;""),(F88-E88)/E88*100,"")</f>
        <v/>
      </c>
      <c r="M88">
        <f>IF(ISNUMBER(G88),ABS(G88),"")</f>
        <v/>
      </c>
    </row>
    <row r="89">
      <c r="G89">
        <f>IF(AND(E89&lt;&gt;"",E89&lt;&gt;0,F89&lt;&gt;""),(F89-E89)/E89*100,"")</f>
        <v/>
      </c>
      <c r="M89">
        <f>IF(ISNUMBER(G89),ABS(G89),"")</f>
        <v/>
      </c>
    </row>
    <row r="90">
      <c r="G90">
        <f>IF(AND(E90&lt;&gt;"",E90&lt;&gt;0,F90&lt;&gt;""),(F90-E90)/E90*100,"")</f>
        <v/>
      </c>
      <c r="M90">
        <f>IF(ISNUMBER(G90),ABS(G90),"")</f>
        <v/>
      </c>
    </row>
    <row r="91">
      <c r="G91">
        <f>IF(AND(E91&lt;&gt;"",E91&lt;&gt;0,F91&lt;&gt;""),(F91-E91)/E91*100,"")</f>
        <v/>
      </c>
      <c r="M91">
        <f>IF(ISNUMBER(G91),ABS(G91),"")</f>
        <v/>
      </c>
    </row>
    <row r="92">
      <c r="G92">
        <f>IF(AND(E92&lt;&gt;"",E92&lt;&gt;0,F92&lt;&gt;""),(F92-E92)/E92*100,"")</f>
        <v/>
      </c>
      <c r="M92">
        <f>IF(ISNUMBER(G92),ABS(G92),"")</f>
        <v/>
      </c>
    </row>
    <row r="93">
      <c r="G93">
        <f>IF(AND(E93&lt;&gt;"",E93&lt;&gt;0,F93&lt;&gt;""),(F93-E93)/E93*100,"")</f>
        <v/>
      </c>
      <c r="M93">
        <f>IF(ISNUMBER(G93),ABS(G93),"")</f>
        <v/>
      </c>
    </row>
    <row r="94">
      <c r="G94">
        <f>IF(AND(E94&lt;&gt;"",E94&lt;&gt;0,F94&lt;&gt;""),(F94-E94)/E94*100,"")</f>
        <v/>
      </c>
      <c r="M94">
        <f>IF(ISNUMBER(G94),ABS(G94),"")</f>
        <v/>
      </c>
    </row>
    <row r="95">
      <c r="G95">
        <f>IF(AND(E95&lt;&gt;"",E95&lt;&gt;0,F95&lt;&gt;""),(F95-E95)/E95*100,"")</f>
        <v/>
      </c>
      <c r="M95">
        <f>IF(ISNUMBER(G95),ABS(G95),"")</f>
        <v/>
      </c>
    </row>
    <row r="96">
      <c r="G96">
        <f>IF(AND(E96&lt;&gt;"",E96&lt;&gt;0,F96&lt;&gt;""),(F96-E96)/E96*100,"")</f>
        <v/>
      </c>
      <c r="M96">
        <f>IF(ISNUMBER(G96),ABS(G96),"")</f>
        <v/>
      </c>
    </row>
    <row r="97">
      <c r="G97">
        <f>IF(AND(E97&lt;&gt;"",E97&lt;&gt;0,F97&lt;&gt;""),(F97-E97)/E97*100,"")</f>
        <v/>
      </c>
      <c r="M97">
        <f>IF(ISNUMBER(G97),ABS(G97),"")</f>
        <v/>
      </c>
    </row>
    <row r="98">
      <c r="G98">
        <f>IF(AND(E98&lt;&gt;"",E98&lt;&gt;0,F98&lt;&gt;""),(F98-E98)/E98*100,"")</f>
        <v/>
      </c>
      <c r="M98">
        <f>IF(ISNUMBER(G98),ABS(G98),"")</f>
        <v/>
      </c>
    </row>
    <row r="99">
      <c r="G99">
        <f>IF(AND(E99&lt;&gt;"",E99&lt;&gt;0,F99&lt;&gt;""),(F99-E99)/E99*100,"")</f>
        <v/>
      </c>
      <c r="M99">
        <f>IF(ISNUMBER(G99),ABS(G99),"")</f>
        <v/>
      </c>
    </row>
    <row r="100">
      <c r="G100">
        <f>IF(AND(E100&lt;&gt;"",E100&lt;&gt;0,F100&lt;&gt;""),(F100-E100)/E100*100,"")</f>
        <v/>
      </c>
      <c r="M100">
        <f>IF(ISNUMBER(G100),ABS(G100),"")</f>
        <v/>
      </c>
    </row>
    <row r="101">
      <c r="G101">
        <f>IF(AND(E101&lt;&gt;"",E101&lt;&gt;0,F101&lt;&gt;""),(F101-E101)/E101*100,"")</f>
        <v/>
      </c>
      <c r="M101">
        <f>IF(ISNUMBER(G101),ABS(G101),"")</f>
        <v/>
      </c>
    </row>
    <row r="102">
      <c r="G102">
        <f>IF(AND(E102&lt;&gt;"",E102&lt;&gt;0,F102&lt;&gt;""),(F102-E102)/E102*100,"")</f>
        <v/>
      </c>
      <c r="M102">
        <f>IF(ISNUMBER(G102),ABS(G102),"")</f>
        <v/>
      </c>
    </row>
    <row r="103">
      <c r="G103">
        <f>IF(AND(E103&lt;&gt;"",E103&lt;&gt;0,F103&lt;&gt;""),(F103-E103)/E103*100,"")</f>
        <v/>
      </c>
      <c r="M103">
        <f>IF(ISNUMBER(G103),ABS(G103),"")</f>
        <v/>
      </c>
    </row>
    <row r="104">
      <c r="G104">
        <f>IF(AND(E104&lt;&gt;"",E104&lt;&gt;0,F104&lt;&gt;""),(F104-E104)/E104*100,"")</f>
        <v/>
      </c>
      <c r="M104">
        <f>IF(ISNUMBER(G104),ABS(G104),"")</f>
        <v/>
      </c>
    </row>
    <row r="105">
      <c r="G105">
        <f>IF(AND(E105&lt;&gt;"",E105&lt;&gt;0,F105&lt;&gt;""),(F105-E105)/E105*100,"")</f>
        <v/>
      </c>
      <c r="M105">
        <f>IF(ISNUMBER(G105),ABS(G105),"")</f>
        <v/>
      </c>
    </row>
    <row r="106">
      <c r="G106">
        <f>IF(AND(E106&lt;&gt;"",E106&lt;&gt;0,F106&lt;&gt;""),(F106-E106)/E106*100,"")</f>
        <v/>
      </c>
      <c r="M106">
        <f>IF(ISNUMBER(G106),ABS(G106),"")</f>
        <v/>
      </c>
    </row>
    <row r="107">
      <c r="G107">
        <f>IF(AND(E107&lt;&gt;"",E107&lt;&gt;0,F107&lt;&gt;""),(F107-E107)/E107*100,"")</f>
        <v/>
      </c>
      <c r="M107">
        <f>IF(ISNUMBER(G107),ABS(G107),"")</f>
        <v/>
      </c>
    </row>
    <row r="108">
      <c r="G108">
        <f>IF(AND(E108&lt;&gt;"",E108&lt;&gt;0,F108&lt;&gt;""),(F108-E108)/E108*100,"")</f>
        <v/>
      </c>
      <c r="M108">
        <f>IF(ISNUMBER(G108),ABS(G108),"")</f>
        <v/>
      </c>
    </row>
    <row r="109">
      <c r="G109">
        <f>IF(AND(E109&lt;&gt;"",E109&lt;&gt;0,F109&lt;&gt;""),(F109-E109)/E109*100,"")</f>
        <v/>
      </c>
      <c r="M109">
        <f>IF(ISNUMBER(G109),ABS(G109),"")</f>
        <v/>
      </c>
    </row>
    <row r="110">
      <c r="G110">
        <f>IF(AND(E110&lt;&gt;"",E110&lt;&gt;0,F110&lt;&gt;""),(F110-E110)/E110*100,"")</f>
        <v/>
      </c>
      <c r="M110">
        <f>IF(ISNUMBER(G110),ABS(G110),"")</f>
        <v/>
      </c>
    </row>
    <row r="111">
      <c r="G111">
        <f>IF(AND(E111&lt;&gt;"",E111&lt;&gt;0,F111&lt;&gt;""),(F111-E111)/E111*100,"")</f>
        <v/>
      </c>
      <c r="M111">
        <f>IF(ISNUMBER(G111),ABS(G111),"")</f>
        <v/>
      </c>
    </row>
    <row r="112">
      <c r="G112">
        <f>IF(AND(E112&lt;&gt;"",E112&lt;&gt;0,F112&lt;&gt;""),(F112-E112)/E112*100,"")</f>
        <v/>
      </c>
      <c r="M112">
        <f>IF(ISNUMBER(G112),ABS(G112),"")</f>
        <v/>
      </c>
    </row>
    <row r="113">
      <c r="G113">
        <f>IF(AND(E113&lt;&gt;"",E113&lt;&gt;0,F113&lt;&gt;""),(F113-E113)/E113*100,"")</f>
        <v/>
      </c>
      <c r="M113">
        <f>IF(ISNUMBER(G113),ABS(G113),"")</f>
        <v/>
      </c>
    </row>
    <row r="114">
      <c r="G114">
        <f>IF(AND(E114&lt;&gt;"",E114&lt;&gt;0,F114&lt;&gt;""),(F114-E114)/E114*100,"")</f>
        <v/>
      </c>
      <c r="M114">
        <f>IF(ISNUMBER(G114),ABS(G114),"")</f>
        <v/>
      </c>
    </row>
    <row r="115">
      <c r="G115">
        <f>IF(AND(E115&lt;&gt;"",E115&lt;&gt;0,F115&lt;&gt;""),(F115-E115)/E115*100,"")</f>
        <v/>
      </c>
      <c r="M115">
        <f>IF(ISNUMBER(G115),ABS(G115),"")</f>
        <v/>
      </c>
    </row>
    <row r="116">
      <c r="G116">
        <f>IF(AND(E116&lt;&gt;"",E116&lt;&gt;0,F116&lt;&gt;""),(F116-E116)/E116*100,"")</f>
        <v/>
      </c>
      <c r="M116">
        <f>IF(ISNUMBER(G116),ABS(G116),"")</f>
        <v/>
      </c>
    </row>
    <row r="117">
      <c r="G117">
        <f>IF(AND(E117&lt;&gt;"",E117&lt;&gt;0,F117&lt;&gt;""),(F117-E117)/E117*100,"")</f>
        <v/>
      </c>
      <c r="M117">
        <f>IF(ISNUMBER(G117),ABS(G117),"")</f>
        <v/>
      </c>
    </row>
    <row r="118">
      <c r="G118">
        <f>IF(AND(E118&lt;&gt;"",E118&lt;&gt;0,F118&lt;&gt;""),(F118-E118)/E118*100,"")</f>
        <v/>
      </c>
      <c r="M118">
        <f>IF(ISNUMBER(G118),ABS(G118),"")</f>
        <v/>
      </c>
    </row>
    <row r="119">
      <c r="G119">
        <f>IF(AND(E119&lt;&gt;"",E119&lt;&gt;0,F119&lt;&gt;""),(F119-E119)/E119*100,"")</f>
        <v/>
      </c>
      <c r="M119">
        <f>IF(ISNUMBER(G119),ABS(G119),"")</f>
        <v/>
      </c>
    </row>
    <row r="120">
      <c r="G120">
        <f>IF(AND(E120&lt;&gt;"",E120&lt;&gt;0,F120&lt;&gt;""),(F120-E120)/E120*100,"")</f>
        <v/>
      </c>
      <c r="M120">
        <f>IF(ISNUMBER(G120),ABS(G120),"")</f>
        <v/>
      </c>
    </row>
    <row r="121">
      <c r="G121">
        <f>IF(AND(E121&lt;&gt;"",E121&lt;&gt;0,F121&lt;&gt;""),(F121-E121)/E121*100,"")</f>
        <v/>
      </c>
      <c r="M121">
        <f>IF(ISNUMBER(G121),ABS(G121),"")</f>
        <v/>
      </c>
    </row>
    <row r="122">
      <c r="G122">
        <f>IF(AND(E122&lt;&gt;"",E122&lt;&gt;0,F122&lt;&gt;""),(F122-E122)/E122*100,"")</f>
        <v/>
      </c>
      <c r="M122">
        <f>IF(ISNUMBER(G122),ABS(G122),"")</f>
        <v/>
      </c>
    </row>
    <row r="123">
      <c r="G123">
        <f>IF(AND(E123&lt;&gt;"",E123&lt;&gt;0,F123&lt;&gt;""),(F123-E123)/E123*100,"")</f>
        <v/>
      </c>
      <c r="M123">
        <f>IF(ISNUMBER(G123),ABS(G123),"")</f>
        <v/>
      </c>
    </row>
    <row r="124">
      <c r="G124">
        <f>IF(AND(E124&lt;&gt;"",E124&lt;&gt;0,F124&lt;&gt;""),(F124-E124)/E124*100,"")</f>
        <v/>
      </c>
      <c r="M124">
        <f>IF(ISNUMBER(G124),ABS(G124),"")</f>
        <v/>
      </c>
    </row>
    <row r="125">
      <c r="G125">
        <f>IF(AND(E125&lt;&gt;"",E125&lt;&gt;0,F125&lt;&gt;""),(F125-E125)/E125*100,"")</f>
        <v/>
      </c>
      <c r="M125">
        <f>IF(ISNUMBER(G125),ABS(G125),"")</f>
        <v/>
      </c>
    </row>
    <row r="126">
      <c r="G126">
        <f>IF(AND(E126&lt;&gt;"",E126&lt;&gt;0,F126&lt;&gt;""),(F126-E126)/E126*100,"")</f>
        <v/>
      </c>
      <c r="M126">
        <f>IF(ISNUMBER(G126),ABS(G126),"")</f>
        <v/>
      </c>
    </row>
    <row r="127">
      <c r="G127">
        <f>IF(AND(E127&lt;&gt;"",E127&lt;&gt;0,F127&lt;&gt;""),(F127-E127)/E127*100,"")</f>
        <v/>
      </c>
      <c r="M127">
        <f>IF(ISNUMBER(G127),ABS(G127),"")</f>
        <v/>
      </c>
    </row>
    <row r="128">
      <c r="G128">
        <f>IF(AND(E128&lt;&gt;"",E128&lt;&gt;0,F128&lt;&gt;""),(F128-E128)/E128*100,"")</f>
        <v/>
      </c>
      <c r="M128">
        <f>IF(ISNUMBER(G128),ABS(G128),"")</f>
        <v/>
      </c>
    </row>
    <row r="129">
      <c r="G129">
        <f>IF(AND(E129&lt;&gt;"",E129&lt;&gt;0,F129&lt;&gt;""),(F129-E129)/E129*100,"")</f>
        <v/>
      </c>
      <c r="M129">
        <f>IF(ISNUMBER(G129),ABS(G129),"")</f>
        <v/>
      </c>
    </row>
    <row r="130">
      <c r="G130">
        <f>IF(AND(E130&lt;&gt;"",E130&lt;&gt;0,F130&lt;&gt;""),(F130-E130)/E130*100,"")</f>
        <v/>
      </c>
      <c r="M130">
        <f>IF(ISNUMBER(G130),ABS(G130),"")</f>
        <v/>
      </c>
    </row>
    <row r="131">
      <c r="G131">
        <f>IF(AND(E131&lt;&gt;"",E131&lt;&gt;0,F131&lt;&gt;""),(F131-E131)/E131*100,"")</f>
        <v/>
      </c>
      <c r="M131">
        <f>IF(ISNUMBER(G131),ABS(G131),"")</f>
        <v/>
      </c>
    </row>
    <row r="132">
      <c r="G132">
        <f>IF(AND(E132&lt;&gt;"",E132&lt;&gt;0,F132&lt;&gt;""),(F132-E132)/E132*100,"")</f>
        <v/>
      </c>
      <c r="M132">
        <f>IF(ISNUMBER(G132),ABS(G132),"")</f>
        <v/>
      </c>
    </row>
    <row r="133">
      <c r="G133">
        <f>IF(AND(E133&lt;&gt;"",E133&lt;&gt;0,F133&lt;&gt;""),(F133-E133)/E133*100,"")</f>
        <v/>
      </c>
      <c r="M133">
        <f>IF(ISNUMBER(G133),ABS(G133),"")</f>
        <v/>
      </c>
    </row>
    <row r="134">
      <c r="G134">
        <f>IF(AND(E134&lt;&gt;"",E134&lt;&gt;0,F134&lt;&gt;""),(F134-E134)/E134*100,"")</f>
        <v/>
      </c>
      <c r="M134">
        <f>IF(ISNUMBER(G134),ABS(G134),"")</f>
        <v/>
      </c>
    </row>
    <row r="135">
      <c r="G135">
        <f>IF(AND(E135&lt;&gt;"",E135&lt;&gt;0,F135&lt;&gt;""),(F135-E135)/E135*100,"")</f>
        <v/>
      </c>
      <c r="M135">
        <f>IF(ISNUMBER(G135),ABS(G135),"")</f>
        <v/>
      </c>
    </row>
    <row r="136">
      <c r="G136">
        <f>IF(AND(E136&lt;&gt;"",E136&lt;&gt;0,F136&lt;&gt;""),(F136-E136)/E136*100,"")</f>
        <v/>
      </c>
      <c r="M136">
        <f>IF(ISNUMBER(G136),ABS(G136),"")</f>
        <v/>
      </c>
    </row>
    <row r="137">
      <c r="G137">
        <f>IF(AND(E137&lt;&gt;"",E137&lt;&gt;0,F137&lt;&gt;""),(F137-E137)/E137*100,"")</f>
        <v/>
      </c>
      <c r="M137">
        <f>IF(ISNUMBER(G137),ABS(G137),"")</f>
        <v/>
      </c>
    </row>
    <row r="138">
      <c r="G138">
        <f>IF(AND(E138&lt;&gt;"",E138&lt;&gt;0,F138&lt;&gt;""),(F138-E138)/E138*100,"")</f>
        <v/>
      </c>
      <c r="M138">
        <f>IF(ISNUMBER(G138),ABS(G138),"")</f>
        <v/>
      </c>
    </row>
    <row r="139">
      <c r="G139">
        <f>IF(AND(E139&lt;&gt;"",E139&lt;&gt;0,F139&lt;&gt;""),(F139-E139)/E139*100,"")</f>
        <v/>
      </c>
      <c r="M139">
        <f>IF(ISNUMBER(G139),ABS(G139),"")</f>
        <v/>
      </c>
    </row>
    <row r="140">
      <c r="G140">
        <f>IF(AND(E140&lt;&gt;"",E140&lt;&gt;0,F140&lt;&gt;""),(F140-E140)/E140*100,"")</f>
        <v/>
      </c>
      <c r="M140">
        <f>IF(ISNUMBER(G140),ABS(G140),"")</f>
        <v/>
      </c>
    </row>
    <row r="141">
      <c r="G141">
        <f>IF(AND(E141&lt;&gt;"",E141&lt;&gt;0,F141&lt;&gt;""),(F141-E141)/E141*100,"")</f>
        <v/>
      </c>
      <c r="M141">
        <f>IF(ISNUMBER(G141),ABS(G141),"")</f>
        <v/>
      </c>
    </row>
    <row r="142">
      <c r="G142">
        <f>IF(AND(E142&lt;&gt;"",E142&lt;&gt;0,F142&lt;&gt;""),(F142-E142)/E142*100,"")</f>
        <v/>
      </c>
      <c r="M142">
        <f>IF(ISNUMBER(G142),ABS(G142),"")</f>
        <v/>
      </c>
    </row>
    <row r="143">
      <c r="G143">
        <f>IF(AND(E143&lt;&gt;"",E143&lt;&gt;0,F143&lt;&gt;""),(F143-E143)/E143*100,"")</f>
        <v/>
      </c>
      <c r="M143">
        <f>IF(ISNUMBER(G143),ABS(G143),"")</f>
        <v/>
      </c>
    </row>
    <row r="144">
      <c r="G144">
        <f>IF(AND(E144&lt;&gt;"",E144&lt;&gt;0,F144&lt;&gt;""),(F144-E144)/E144*100,"")</f>
        <v/>
      </c>
      <c r="M144">
        <f>IF(ISNUMBER(G144),ABS(G144),"")</f>
        <v/>
      </c>
    </row>
    <row r="145">
      <c r="G145">
        <f>IF(AND(E145&lt;&gt;"",E145&lt;&gt;0,F145&lt;&gt;""),(F145-E145)/E145*100,"")</f>
        <v/>
      </c>
      <c r="M145">
        <f>IF(ISNUMBER(G145),ABS(G145),"")</f>
        <v/>
      </c>
    </row>
    <row r="146">
      <c r="G146">
        <f>IF(AND(E146&lt;&gt;"",E146&lt;&gt;0,F146&lt;&gt;""),(F146-E146)/E146*100,"")</f>
        <v/>
      </c>
      <c r="M146">
        <f>IF(ISNUMBER(G146),ABS(G146),"")</f>
        <v/>
      </c>
    </row>
    <row r="147">
      <c r="G147">
        <f>IF(AND(E147&lt;&gt;"",E147&lt;&gt;0,F147&lt;&gt;""),(F147-E147)/E147*100,"")</f>
        <v/>
      </c>
      <c r="M147">
        <f>IF(ISNUMBER(G147),ABS(G147),"")</f>
        <v/>
      </c>
    </row>
    <row r="148">
      <c r="G148">
        <f>IF(AND(E148&lt;&gt;"",E148&lt;&gt;0,F148&lt;&gt;""),(F148-E148)/E148*100,"")</f>
        <v/>
      </c>
      <c r="M148">
        <f>IF(ISNUMBER(G148),ABS(G148),"")</f>
        <v/>
      </c>
    </row>
    <row r="149">
      <c r="G149">
        <f>IF(AND(E149&lt;&gt;"",E149&lt;&gt;0,F149&lt;&gt;""),(F149-E149)/E149*100,"")</f>
        <v/>
      </c>
      <c r="M149">
        <f>IF(ISNUMBER(G149),ABS(G149),"")</f>
        <v/>
      </c>
    </row>
    <row r="150">
      <c r="G150">
        <f>IF(AND(E150&lt;&gt;"",E150&lt;&gt;0,F150&lt;&gt;""),(F150-E150)/E150*100,"")</f>
        <v/>
      </c>
      <c r="M150">
        <f>IF(ISNUMBER(G150),ABS(G150),"")</f>
        <v/>
      </c>
    </row>
    <row r="151">
      <c r="G151">
        <f>IF(AND(E151&lt;&gt;"",E151&lt;&gt;0,F151&lt;&gt;""),(F151-E151)/E151*100,"")</f>
        <v/>
      </c>
      <c r="M151">
        <f>IF(ISNUMBER(G151),ABS(G151),"")</f>
        <v/>
      </c>
    </row>
    <row r="152">
      <c r="G152">
        <f>IF(AND(E152&lt;&gt;"",E152&lt;&gt;0,F152&lt;&gt;""),(F152-E152)/E152*100,"")</f>
        <v/>
      </c>
      <c r="M152">
        <f>IF(ISNUMBER(G152),ABS(G152),"")</f>
        <v/>
      </c>
    </row>
    <row r="153">
      <c r="G153">
        <f>IF(AND(E153&lt;&gt;"",E153&lt;&gt;0,F153&lt;&gt;""),(F153-E153)/E153*100,"")</f>
        <v/>
      </c>
      <c r="M153">
        <f>IF(ISNUMBER(G153),ABS(G153),"")</f>
        <v/>
      </c>
    </row>
    <row r="154">
      <c r="G154">
        <f>IF(AND(E154&lt;&gt;"",E154&lt;&gt;0,F154&lt;&gt;""),(F154-E154)/E154*100,"")</f>
        <v/>
      </c>
      <c r="M154">
        <f>IF(ISNUMBER(G154),ABS(G154),"")</f>
        <v/>
      </c>
    </row>
    <row r="155">
      <c r="G155">
        <f>IF(AND(E155&lt;&gt;"",E155&lt;&gt;0,F155&lt;&gt;""),(F155-E155)/E155*100,"")</f>
        <v/>
      </c>
      <c r="M155">
        <f>IF(ISNUMBER(G155),ABS(G155),"")</f>
        <v/>
      </c>
    </row>
    <row r="156">
      <c r="G156">
        <f>IF(AND(E156&lt;&gt;"",E156&lt;&gt;0,F156&lt;&gt;""),(F156-E156)/E156*100,"")</f>
        <v/>
      </c>
      <c r="M156">
        <f>IF(ISNUMBER(G156),ABS(G156),"")</f>
        <v/>
      </c>
    </row>
    <row r="157">
      <c r="G157">
        <f>IF(AND(E157&lt;&gt;"",E157&lt;&gt;0,F157&lt;&gt;""),(F157-E157)/E157*100,"")</f>
        <v/>
      </c>
      <c r="M157">
        <f>IF(ISNUMBER(G157),ABS(G157),"")</f>
        <v/>
      </c>
    </row>
    <row r="158">
      <c r="G158">
        <f>IF(AND(E158&lt;&gt;"",E158&lt;&gt;0,F158&lt;&gt;""),(F158-E158)/E158*100,"")</f>
        <v/>
      </c>
      <c r="M158">
        <f>IF(ISNUMBER(G158),ABS(G158),"")</f>
        <v/>
      </c>
    </row>
    <row r="159">
      <c r="G159">
        <f>IF(AND(E159&lt;&gt;"",E159&lt;&gt;0,F159&lt;&gt;""),(F159-E159)/E159*100,"")</f>
        <v/>
      </c>
      <c r="M159">
        <f>IF(ISNUMBER(G159),ABS(G159),"")</f>
        <v/>
      </c>
    </row>
    <row r="160">
      <c r="G160">
        <f>IF(AND(E160&lt;&gt;"",E160&lt;&gt;0,F160&lt;&gt;""),(F160-E160)/E160*100,"")</f>
        <v/>
      </c>
      <c r="M160">
        <f>IF(ISNUMBER(G160),ABS(G160),"")</f>
        <v/>
      </c>
    </row>
    <row r="161">
      <c r="G161">
        <f>IF(AND(E161&lt;&gt;"",E161&lt;&gt;0,F161&lt;&gt;""),(F161-E161)/E161*100,"")</f>
        <v/>
      </c>
      <c r="M161">
        <f>IF(ISNUMBER(G161),ABS(G161),"")</f>
        <v/>
      </c>
    </row>
    <row r="162">
      <c r="G162">
        <f>IF(AND(E162&lt;&gt;"",E162&lt;&gt;0,F162&lt;&gt;""),(F162-E162)/E162*100,"")</f>
        <v/>
      </c>
      <c r="M162">
        <f>IF(ISNUMBER(G162),ABS(G162),"")</f>
        <v/>
      </c>
    </row>
    <row r="163">
      <c r="G163">
        <f>IF(AND(E163&lt;&gt;"",E163&lt;&gt;0,F163&lt;&gt;""),(F163-E163)/E163*100,"")</f>
        <v/>
      </c>
      <c r="M163">
        <f>IF(ISNUMBER(G163),ABS(G163),"")</f>
        <v/>
      </c>
    </row>
    <row r="164">
      <c r="G164">
        <f>IF(AND(E164&lt;&gt;"",E164&lt;&gt;0,F164&lt;&gt;""),(F164-E164)/E164*100,"")</f>
        <v/>
      </c>
      <c r="M164">
        <f>IF(ISNUMBER(G164),ABS(G164),"")</f>
        <v/>
      </c>
    </row>
    <row r="165">
      <c r="G165">
        <f>IF(AND(E165&lt;&gt;"",E165&lt;&gt;0,F165&lt;&gt;""),(F165-E165)/E165*100,"")</f>
        <v/>
      </c>
      <c r="M165">
        <f>IF(ISNUMBER(G165),ABS(G165),"")</f>
        <v/>
      </c>
    </row>
    <row r="166">
      <c r="G166">
        <f>IF(AND(E166&lt;&gt;"",E166&lt;&gt;0,F166&lt;&gt;""),(F166-E166)/E166*100,"")</f>
        <v/>
      </c>
      <c r="M166">
        <f>IF(ISNUMBER(G166),ABS(G166),"")</f>
        <v/>
      </c>
    </row>
    <row r="167">
      <c r="G167">
        <f>IF(AND(E167&lt;&gt;"",E167&lt;&gt;0,F167&lt;&gt;""),(F167-E167)/E167*100,"")</f>
        <v/>
      </c>
      <c r="M167">
        <f>IF(ISNUMBER(G167),ABS(G167),"")</f>
        <v/>
      </c>
    </row>
    <row r="168">
      <c r="G168">
        <f>IF(AND(E168&lt;&gt;"",E168&lt;&gt;0,F168&lt;&gt;""),(F168-E168)/E168*100,"")</f>
        <v/>
      </c>
      <c r="M168">
        <f>IF(ISNUMBER(G168),ABS(G168),"")</f>
        <v/>
      </c>
    </row>
    <row r="169">
      <c r="G169">
        <f>IF(AND(E169&lt;&gt;"",E169&lt;&gt;0,F169&lt;&gt;""),(F169-E169)/E169*100,"")</f>
        <v/>
      </c>
      <c r="M169">
        <f>IF(ISNUMBER(G169),ABS(G169),"")</f>
        <v/>
      </c>
    </row>
    <row r="170">
      <c r="G170">
        <f>IF(AND(E170&lt;&gt;"",E170&lt;&gt;0,F170&lt;&gt;""),(F170-E170)/E170*100,"")</f>
        <v/>
      </c>
      <c r="M170">
        <f>IF(ISNUMBER(G170),ABS(G170),"")</f>
        <v/>
      </c>
    </row>
    <row r="171">
      <c r="G171">
        <f>IF(AND(E171&lt;&gt;"",E171&lt;&gt;0,F171&lt;&gt;""),(F171-E171)/E171*100,"")</f>
        <v/>
      </c>
      <c r="M171">
        <f>IF(ISNUMBER(G171),ABS(G171),"")</f>
        <v/>
      </c>
    </row>
    <row r="172">
      <c r="G172">
        <f>IF(AND(E172&lt;&gt;"",E172&lt;&gt;0,F172&lt;&gt;""),(F172-E172)/E172*100,"")</f>
        <v/>
      </c>
      <c r="M172">
        <f>IF(ISNUMBER(G172),ABS(G172),"")</f>
        <v/>
      </c>
    </row>
    <row r="173">
      <c r="G173">
        <f>IF(AND(E173&lt;&gt;"",E173&lt;&gt;0,F173&lt;&gt;""),(F173-E173)/E173*100,"")</f>
        <v/>
      </c>
      <c r="M173">
        <f>IF(ISNUMBER(G173),ABS(G173),"")</f>
        <v/>
      </c>
    </row>
    <row r="174">
      <c r="G174">
        <f>IF(AND(E174&lt;&gt;"",E174&lt;&gt;0,F174&lt;&gt;""),(F174-E174)/E174*100,"")</f>
        <v/>
      </c>
      <c r="M174">
        <f>IF(ISNUMBER(G174),ABS(G174),"")</f>
        <v/>
      </c>
    </row>
    <row r="175">
      <c r="G175">
        <f>IF(AND(E175&lt;&gt;"",E175&lt;&gt;0,F175&lt;&gt;""),(F175-E175)/E175*100,"")</f>
        <v/>
      </c>
      <c r="M175">
        <f>IF(ISNUMBER(G175),ABS(G175),"")</f>
        <v/>
      </c>
    </row>
    <row r="176">
      <c r="G176">
        <f>IF(AND(E176&lt;&gt;"",E176&lt;&gt;0,F176&lt;&gt;""),(F176-E176)/E176*100,"")</f>
        <v/>
      </c>
      <c r="M176">
        <f>IF(ISNUMBER(G176),ABS(G176),"")</f>
        <v/>
      </c>
    </row>
    <row r="177">
      <c r="G177">
        <f>IF(AND(E177&lt;&gt;"",E177&lt;&gt;0,F177&lt;&gt;""),(F177-E177)/E177*100,"")</f>
        <v/>
      </c>
      <c r="M177">
        <f>IF(ISNUMBER(G177),ABS(G177),"")</f>
        <v/>
      </c>
    </row>
    <row r="178">
      <c r="G178">
        <f>IF(AND(E178&lt;&gt;"",E178&lt;&gt;0,F178&lt;&gt;""),(F178-E178)/E178*100,"")</f>
        <v/>
      </c>
      <c r="M178">
        <f>IF(ISNUMBER(G178),ABS(G178),"")</f>
        <v/>
      </c>
    </row>
    <row r="179">
      <c r="G179">
        <f>IF(AND(E179&lt;&gt;"",E179&lt;&gt;0,F179&lt;&gt;""),(F179-E179)/E179*100,"")</f>
        <v/>
      </c>
      <c r="M179">
        <f>IF(ISNUMBER(G179),ABS(G179),"")</f>
        <v/>
      </c>
    </row>
    <row r="180">
      <c r="G180">
        <f>IF(AND(E180&lt;&gt;"",E180&lt;&gt;0,F180&lt;&gt;""),(F180-E180)/E180*100,"")</f>
        <v/>
      </c>
      <c r="M180">
        <f>IF(ISNUMBER(G180),ABS(G180),"")</f>
        <v/>
      </c>
    </row>
    <row r="181">
      <c r="G181">
        <f>IF(AND(E181&lt;&gt;"",E181&lt;&gt;0,F181&lt;&gt;""),(F181-E181)/E181*100,"")</f>
        <v/>
      </c>
      <c r="M181">
        <f>IF(ISNUMBER(G181),ABS(G181),"")</f>
        <v/>
      </c>
    </row>
    <row r="182">
      <c r="G182">
        <f>IF(AND(E182&lt;&gt;"",E182&lt;&gt;0,F182&lt;&gt;""),(F182-E182)/E182*100,"")</f>
        <v/>
      </c>
      <c r="M182">
        <f>IF(ISNUMBER(G182),ABS(G182),"")</f>
        <v/>
      </c>
    </row>
    <row r="183">
      <c r="G183">
        <f>IF(AND(E183&lt;&gt;"",E183&lt;&gt;0,F183&lt;&gt;""),(F183-E183)/E183*100,"")</f>
        <v/>
      </c>
      <c r="M183">
        <f>IF(ISNUMBER(G183),ABS(G183),"")</f>
        <v/>
      </c>
    </row>
    <row r="184">
      <c r="G184">
        <f>IF(AND(E184&lt;&gt;"",E184&lt;&gt;0,F184&lt;&gt;""),(F184-E184)/E184*100,"")</f>
        <v/>
      </c>
      <c r="M184">
        <f>IF(ISNUMBER(G184),ABS(G184),"")</f>
        <v/>
      </c>
    </row>
    <row r="185">
      <c r="G185">
        <f>IF(AND(E185&lt;&gt;"",E185&lt;&gt;0,F185&lt;&gt;""),(F185-E185)/E185*100,"")</f>
        <v/>
      </c>
      <c r="M185">
        <f>IF(ISNUMBER(G185),ABS(G185),"")</f>
        <v/>
      </c>
    </row>
    <row r="186">
      <c r="G186">
        <f>IF(AND(E186&lt;&gt;"",E186&lt;&gt;0,F186&lt;&gt;""),(F186-E186)/E186*100,"")</f>
        <v/>
      </c>
      <c r="M186">
        <f>IF(ISNUMBER(G186),ABS(G186),"")</f>
        <v/>
      </c>
    </row>
    <row r="187">
      <c r="G187">
        <f>IF(AND(E187&lt;&gt;"",E187&lt;&gt;0,F187&lt;&gt;""),(F187-E187)/E187*100,"")</f>
        <v/>
      </c>
      <c r="M187">
        <f>IF(ISNUMBER(G187),ABS(G187),"")</f>
        <v/>
      </c>
    </row>
    <row r="188">
      <c r="G188">
        <f>IF(AND(E188&lt;&gt;"",E188&lt;&gt;0,F188&lt;&gt;""),(F188-E188)/E188*100,"")</f>
        <v/>
      </c>
      <c r="M188">
        <f>IF(ISNUMBER(G188),ABS(G188),"")</f>
        <v/>
      </c>
    </row>
    <row r="189">
      <c r="G189">
        <f>IF(AND(E189&lt;&gt;"",E189&lt;&gt;0,F189&lt;&gt;""),(F189-E189)/E189*100,"")</f>
        <v/>
      </c>
      <c r="M189">
        <f>IF(ISNUMBER(G189),ABS(G189),"")</f>
        <v/>
      </c>
    </row>
    <row r="190">
      <c r="G190">
        <f>IF(AND(E190&lt;&gt;"",E190&lt;&gt;0,F190&lt;&gt;""),(F190-E190)/E190*100,"")</f>
        <v/>
      </c>
      <c r="M190">
        <f>IF(ISNUMBER(G190),ABS(G190),"")</f>
        <v/>
      </c>
    </row>
    <row r="191">
      <c r="G191">
        <f>IF(AND(E191&lt;&gt;"",E191&lt;&gt;0,F191&lt;&gt;""),(F191-E191)/E191*100,"")</f>
        <v/>
      </c>
      <c r="M191">
        <f>IF(ISNUMBER(G191),ABS(G191),"")</f>
        <v/>
      </c>
    </row>
    <row r="192">
      <c r="G192">
        <f>IF(AND(E192&lt;&gt;"",E192&lt;&gt;0,F192&lt;&gt;""),(F192-E192)/E192*100,"")</f>
        <v/>
      </c>
      <c r="M192">
        <f>IF(ISNUMBER(G192),ABS(G192),"")</f>
        <v/>
      </c>
    </row>
    <row r="193">
      <c r="G193">
        <f>IF(AND(E193&lt;&gt;"",E193&lt;&gt;0,F193&lt;&gt;""),(F193-E193)/E193*100,"")</f>
        <v/>
      </c>
      <c r="M193">
        <f>IF(ISNUMBER(G193),ABS(G193),"")</f>
        <v/>
      </c>
    </row>
    <row r="194">
      <c r="G194">
        <f>IF(AND(E194&lt;&gt;"",E194&lt;&gt;0,F194&lt;&gt;""),(F194-E194)/E194*100,"")</f>
        <v/>
      </c>
      <c r="M194">
        <f>IF(ISNUMBER(G194),ABS(G194),"")</f>
        <v/>
      </c>
    </row>
    <row r="195">
      <c r="G195">
        <f>IF(AND(E195&lt;&gt;"",E195&lt;&gt;0,F195&lt;&gt;""),(F195-E195)/E195*100,"")</f>
        <v/>
      </c>
      <c r="M195">
        <f>IF(ISNUMBER(G195),ABS(G195),"")</f>
        <v/>
      </c>
    </row>
    <row r="196">
      <c r="G196">
        <f>IF(AND(E196&lt;&gt;"",E196&lt;&gt;0,F196&lt;&gt;""),(F196-E196)/E196*100,"")</f>
        <v/>
      </c>
      <c r="M196">
        <f>IF(ISNUMBER(G196),ABS(G196),"")</f>
        <v/>
      </c>
    </row>
    <row r="197">
      <c r="G197">
        <f>IF(AND(E197&lt;&gt;"",E197&lt;&gt;0,F197&lt;&gt;""),(F197-E197)/E197*100,"")</f>
        <v/>
      </c>
      <c r="M197">
        <f>IF(ISNUMBER(G197),ABS(G197),"")</f>
        <v/>
      </c>
    </row>
    <row r="198">
      <c r="G198">
        <f>IF(AND(E198&lt;&gt;"",E198&lt;&gt;0,F198&lt;&gt;""),(F198-E198)/E198*100,"")</f>
        <v/>
      </c>
      <c r="M198">
        <f>IF(ISNUMBER(G198),ABS(G198),"")</f>
        <v/>
      </c>
    </row>
    <row r="199">
      <c r="G199">
        <f>IF(AND(E199&lt;&gt;"",E199&lt;&gt;0,F199&lt;&gt;""),(F199-E199)/E199*100,"")</f>
        <v/>
      </c>
      <c r="M199">
        <f>IF(ISNUMBER(G199),ABS(G199),"")</f>
        <v/>
      </c>
    </row>
    <row r="200">
      <c r="G200">
        <f>IF(AND(E200&lt;&gt;"",E200&lt;&gt;0,F200&lt;&gt;""),(F200-E200)/E200*100,"")</f>
        <v/>
      </c>
      <c r="M200">
        <f>IF(ISNUMBER(G200),ABS(G200),"")</f>
        <v/>
      </c>
    </row>
    <row r="201">
      <c r="G201">
        <f>IF(AND(E201&lt;&gt;"",E201&lt;&gt;0,F201&lt;&gt;""),(F201-E201)/E201*100,"")</f>
        <v/>
      </c>
      <c r="M201">
        <f>IF(ISNUMBER(G201),ABS(G201),"")</f>
        <v/>
      </c>
    </row>
    <row r="202">
      <c r="G202">
        <f>IF(AND(E202&lt;&gt;"",E202&lt;&gt;0,F202&lt;&gt;""),(F202-E202)/E202*100,"")</f>
        <v/>
      </c>
      <c r="M202">
        <f>IF(ISNUMBER(G202),ABS(G202),"")</f>
        <v/>
      </c>
    </row>
    <row r="203">
      <c r="G203">
        <f>IF(AND(E203&lt;&gt;"",E203&lt;&gt;0,F203&lt;&gt;""),(F203-E203)/E203*100,"")</f>
        <v/>
      </c>
      <c r="M203">
        <f>IF(ISNUMBER(G203),ABS(G203),"")</f>
        <v/>
      </c>
    </row>
    <row r="204">
      <c r="G204">
        <f>IF(AND(E204&lt;&gt;"",E204&lt;&gt;0,F204&lt;&gt;""),(F204-E204)/E204*100,"")</f>
        <v/>
      </c>
      <c r="M204">
        <f>IF(ISNUMBER(G204),ABS(G204),"")</f>
        <v/>
      </c>
    </row>
    <row r="205">
      <c r="G205">
        <f>IF(AND(E205&lt;&gt;"",E205&lt;&gt;0,F205&lt;&gt;""),(F205-E205)/E205*100,"")</f>
        <v/>
      </c>
      <c r="M205">
        <f>IF(ISNUMBER(G205),ABS(G205),"")</f>
        <v/>
      </c>
    </row>
    <row r="206">
      <c r="G206">
        <f>IF(AND(E206&lt;&gt;"",E206&lt;&gt;0,F206&lt;&gt;""),(F206-E206)/E206*100,"")</f>
        <v/>
      </c>
      <c r="M206">
        <f>IF(ISNUMBER(G206),ABS(G206),"")</f>
        <v/>
      </c>
    </row>
    <row r="207">
      <c r="G207">
        <f>IF(AND(E207&lt;&gt;"",E207&lt;&gt;0,F207&lt;&gt;""),(F207-E207)/E207*100,"")</f>
        <v/>
      </c>
      <c r="M207">
        <f>IF(ISNUMBER(G207),ABS(G207),"")</f>
        <v/>
      </c>
    </row>
    <row r="208">
      <c r="G208">
        <f>IF(AND(E208&lt;&gt;"",E208&lt;&gt;0,F208&lt;&gt;""),(F208-E208)/E208*100,"")</f>
        <v/>
      </c>
      <c r="M208">
        <f>IF(ISNUMBER(G208),ABS(G208),"")</f>
        <v/>
      </c>
    </row>
    <row r="209">
      <c r="G209">
        <f>IF(AND(E209&lt;&gt;"",E209&lt;&gt;0,F209&lt;&gt;""),(F209-E209)/E209*100,"")</f>
        <v/>
      </c>
      <c r="M209">
        <f>IF(ISNUMBER(G209),ABS(G209),"")</f>
        <v/>
      </c>
    </row>
    <row r="210">
      <c r="G210">
        <f>IF(AND(E210&lt;&gt;"",E210&lt;&gt;0,F210&lt;&gt;""),(F210-E210)/E210*100,"")</f>
        <v/>
      </c>
      <c r="M210">
        <f>IF(ISNUMBER(G210),ABS(G210),"")</f>
        <v/>
      </c>
    </row>
    <row r="211">
      <c r="G211">
        <f>IF(AND(E211&lt;&gt;"",E211&lt;&gt;0,F211&lt;&gt;""),(F211-E211)/E211*100,"")</f>
        <v/>
      </c>
      <c r="M211">
        <f>IF(ISNUMBER(G211),ABS(G211),"")</f>
        <v/>
      </c>
    </row>
    <row r="212">
      <c r="G212">
        <f>IF(AND(E212&lt;&gt;"",E212&lt;&gt;0,F212&lt;&gt;""),(F212-E212)/E212*100,"")</f>
        <v/>
      </c>
      <c r="M212">
        <f>IF(ISNUMBER(G212),ABS(G212),"")</f>
        <v/>
      </c>
    </row>
    <row r="213">
      <c r="G213">
        <f>IF(AND(E213&lt;&gt;"",E213&lt;&gt;0,F213&lt;&gt;""),(F213-E213)/E213*100,"")</f>
        <v/>
      </c>
      <c r="M213">
        <f>IF(ISNUMBER(G213),ABS(G213),"")</f>
        <v/>
      </c>
    </row>
    <row r="214">
      <c r="G214">
        <f>IF(AND(E214&lt;&gt;"",E214&lt;&gt;0,F214&lt;&gt;""),(F214-E214)/E214*100,"")</f>
        <v/>
      </c>
      <c r="M214">
        <f>IF(ISNUMBER(G214),ABS(G214),"")</f>
        <v/>
      </c>
    </row>
    <row r="215">
      <c r="G215">
        <f>IF(AND(E215&lt;&gt;"",E215&lt;&gt;0,F215&lt;&gt;""),(F215-E215)/E215*100,"")</f>
        <v/>
      </c>
      <c r="M215">
        <f>IF(ISNUMBER(G215),ABS(G215),"")</f>
        <v/>
      </c>
    </row>
    <row r="216">
      <c r="G216">
        <f>IF(AND(E216&lt;&gt;"",E216&lt;&gt;0,F216&lt;&gt;""),(F216-E216)/E216*100,"")</f>
        <v/>
      </c>
      <c r="M216">
        <f>IF(ISNUMBER(G216),ABS(G216),"")</f>
        <v/>
      </c>
    </row>
    <row r="217">
      <c r="G217">
        <f>IF(AND(E217&lt;&gt;"",E217&lt;&gt;0,F217&lt;&gt;""),(F217-E217)/E217*100,"")</f>
        <v/>
      </c>
      <c r="M217">
        <f>IF(ISNUMBER(G217),ABS(G217),"")</f>
        <v/>
      </c>
    </row>
    <row r="218">
      <c r="G218">
        <f>IF(AND(E218&lt;&gt;"",E218&lt;&gt;0,F218&lt;&gt;""),(F218-E218)/E218*100,"")</f>
        <v/>
      </c>
      <c r="M218">
        <f>IF(ISNUMBER(G218),ABS(G218),"")</f>
        <v/>
      </c>
    </row>
    <row r="219">
      <c r="G219">
        <f>IF(AND(E219&lt;&gt;"",E219&lt;&gt;0,F219&lt;&gt;""),(F219-E219)/E219*100,"")</f>
        <v/>
      </c>
      <c r="M219">
        <f>IF(ISNUMBER(G219),ABS(G219),"")</f>
        <v/>
      </c>
    </row>
    <row r="220">
      <c r="G220">
        <f>IF(AND(E220&lt;&gt;"",E220&lt;&gt;0,F220&lt;&gt;""),(F220-E220)/E220*100,"")</f>
        <v/>
      </c>
      <c r="M220">
        <f>IF(ISNUMBER(G220),ABS(G220),"")</f>
        <v/>
      </c>
    </row>
    <row r="221">
      <c r="G221">
        <f>IF(AND(E221&lt;&gt;"",E221&lt;&gt;0,F221&lt;&gt;""),(F221-E221)/E221*100,"")</f>
        <v/>
      </c>
      <c r="M221">
        <f>IF(ISNUMBER(G221),ABS(G221),"")</f>
        <v/>
      </c>
    </row>
    <row r="222">
      <c r="G222">
        <f>IF(AND(E222&lt;&gt;"",E222&lt;&gt;0,F222&lt;&gt;""),(F222-E222)/E222*100,"")</f>
        <v/>
      </c>
      <c r="M222">
        <f>IF(ISNUMBER(G222),ABS(G222),"")</f>
        <v/>
      </c>
    </row>
    <row r="223">
      <c r="G223">
        <f>IF(AND(E223&lt;&gt;"",E223&lt;&gt;0,F223&lt;&gt;""),(F223-E223)/E223*100,"")</f>
        <v/>
      </c>
      <c r="M223">
        <f>IF(ISNUMBER(G223),ABS(G223),"")</f>
        <v/>
      </c>
    </row>
    <row r="224">
      <c r="G224">
        <f>IF(AND(E224&lt;&gt;"",E224&lt;&gt;0,F224&lt;&gt;""),(F224-E224)/E224*100,"")</f>
        <v/>
      </c>
      <c r="M224">
        <f>IF(ISNUMBER(G224),ABS(G224),"")</f>
        <v/>
      </c>
    </row>
    <row r="225">
      <c r="G225">
        <f>IF(AND(E225&lt;&gt;"",E225&lt;&gt;0,F225&lt;&gt;""),(F225-E225)/E225*100,"")</f>
        <v/>
      </c>
      <c r="M225">
        <f>IF(ISNUMBER(G225),ABS(G225),"")</f>
        <v/>
      </c>
    </row>
    <row r="226">
      <c r="G226">
        <f>IF(AND(E226&lt;&gt;"",E226&lt;&gt;0,F226&lt;&gt;""),(F226-E226)/E226*100,"")</f>
        <v/>
      </c>
      <c r="M226">
        <f>IF(ISNUMBER(G226),ABS(G226),"")</f>
        <v/>
      </c>
    </row>
    <row r="227">
      <c r="G227">
        <f>IF(AND(E227&lt;&gt;"",E227&lt;&gt;0,F227&lt;&gt;""),(F227-E227)/E227*100,"")</f>
        <v/>
      </c>
      <c r="M227">
        <f>IF(ISNUMBER(G227),ABS(G227),"")</f>
        <v/>
      </c>
    </row>
    <row r="228">
      <c r="G228">
        <f>IF(AND(E228&lt;&gt;"",E228&lt;&gt;0,F228&lt;&gt;""),(F228-E228)/E228*100,"")</f>
        <v/>
      </c>
      <c r="M228">
        <f>IF(ISNUMBER(G228),ABS(G228),"")</f>
        <v/>
      </c>
    </row>
    <row r="229">
      <c r="G229">
        <f>IF(AND(E229&lt;&gt;"",E229&lt;&gt;0,F229&lt;&gt;""),(F229-E229)/E229*100,"")</f>
        <v/>
      </c>
      <c r="M229">
        <f>IF(ISNUMBER(G229),ABS(G229),"")</f>
        <v/>
      </c>
    </row>
    <row r="230">
      <c r="G230">
        <f>IF(AND(E230&lt;&gt;"",E230&lt;&gt;0,F230&lt;&gt;""),(F230-E230)/E230*100,"")</f>
        <v/>
      </c>
      <c r="M230">
        <f>IF(ISNUMBER(G230),ABS(G230),"")</f>
        <v/>
      </c>
    </row>
    <row r="231">
      <c r="G231">
        <f>IF(AND(E231&lt;&gt;"",E231&lt;&gt;0,F231&lt;&gt;""),(F231-E231)/E231*100,"")</f>
        <v/>
      </c>
      <c r="M231">
        <f>IF(ISNUMBER(G231),ABS(G231),"")</f>
        <v/>
      </c>
    </row>
    <row r="232">
      <c r="G232">
        <f>IF(AND(E232&lt;&gt;"",E232&lt;&gt;0,F232&lt;&gt;""),(F232-E232)/E232*100,"")</f>
        <v/>
      </c>
      <c r="M232">
        <f>IF(ISNUMBER(G232),ABS(G232),"")</f>
        <v/>
      </c>
    </row>
    <row r="233">
      <c r="G233">
        <f>IF(AND(E233&lt;&gt;"",E233&lt;&gt;0,F233&lt;&gt;""),(F233-E233)/E233*100,"")</f>
        <v/>
      </c>
      <c r="M233">
        <f>IF(ISNUMBER(G233),ABS(G233),"")</f>
        <v/>
      </c>
    </row>
    <row r="234">
      <c r="G234">
        <f>IF(AND(E234&lt;&gt;"",E234&lt;&gt;0,F234&lt;&gt;""),(F234-E234)/E234*100,"")</f>
        <v/>
      </c>
      <c r="M234">
        <f>IF(ISNUMBER(G234),ABS(G234),"")</f>
        <v/>
      </c>
    </row>
    <row r="235">
      <c r="G235">
        <f>IF(AND(E235&lt;&gt;"",E235&lt;&gt;0,F235&lt;&gt;""),(F235-E235)/E235*100,"")</f>
        <v/>
      </c>
      <c r="M235">
        <f>IF(ISNUMBER(G235),ABS(G235),"")</f>
        <v/>
      </c>
    </row>
    <row r="236">
      <c r="G236">
        <f>IF(AND(E236&lt;&gt;"",E236&lt;&gt;0,F236&lt;&gt;""),(F236-E236)/E236*100,"")</f>
        <v/>
      </c>
      <c r="M236">
        <f>IF(ISNUMBER(G236),ABS(G236),"")</f>
        <v/>
      </c>
    </row>
    <row r="237">
      <c r="G237">
        <f>IF(AND(E237&lt;&gt;"",E237&lt;&gt;0,F237&lt;&gt;""),(F237-E237)/E237*100,"")</f>
        <v/>
      </c>
      <c r="M237">
        <f>IF(ISNUMBER(G237),ABS(G237),"")</f>
        <v/>
      </c>
    </row>
    <row r="238">
      <c r="G238">
        <f>IF(AND(E238&lt;&gt;"",E238&lt;&gt;0,F238&lt;&gt;""),(F238-E238)/E238*100,"")</f>
        <v/>
      </c>
      <c r="M238">
        <f>IF(ISNUMBER(G238),ABS(G238),"")</f>
        <v/>
      </c>
    </row>
    <row r="239">
      <c r="G239">
        <f>IF(AND(E239&lt;&gt;"",E239&lt;&gt;0,F239&lt;&gt;""),(F239-E239)/E239*100,"")</f>
        <v/>
      </c>
      <c r="M239">
        <f>IF(ISNUMBER(G239),ABS(G239),"")</f>
        <v/>
      </c>
    </row>
    <row r="240">
      <c r="G240">
        <f>IF(AND(E240&lt;&gt;"",E240&lt;&gt;0,F240&lt;&gt;""),(F240-E240)/E240*100,"")</f>
        <v/>
      </c>
      <c r="M240">
        <f>IF(ISNUMBER(G240),ABS(G240),"")</f>
        <v/>
      </c>
    </row>
    <row r="241">
      <c r="G241">
        <f>IF(AND(E241&lt;&gt;"",E241&lt;&gt;0,F241&lt;&gt;""),(F241-E241)/E241*100,"")</f>
        <v/>
      </c>
      <c r="M241">
        <f>IF(ISNUMBER(G241),ABS(G241),"")</f>
        <v/>
      </c>
    </row>
    <row r="242">
      <c r="G242">
        <f>IF(AND(E242&lt;&gt;"",E242&lt;&gt;0,F242&lt;&gt;""),(F242-E242)/E242*100,"")</f>
        <v/>
      </c>
      <c r="M242">
        <f>IF(ISNUMBER(G242),ABS(G242),"")</f>
        <v/>
      </c>
    </row>
    <row r="243">
      <c r="G243">
        <f>IF(AND(E243&lt;&gt;"",E243&lt;&gt;0,F243&lt;&gt;""),(F243-E243)/E243*100,"")</f>
        <v/>
      </c>
      <c r="M243">
        <f>IF(ISNUMBER(G243),ABS(G243),"")</f>
        <v/>
      </c>
    </row>
    <row r="244">
      <c r="G244">
        <f>IF(AND(E244&lt;&gt;"",E244&lt;&gt;0,F244&lt;&gt;""),(F244-E244)/E244*100,"")</f>
        <v/>
      </c>
      <c r="M244">
        <f>IF(ISNUMBER(G244),ABS(G244),"")</f>
        <v/>
      </c>
    </row>
    <row r="245">
      <c r="G245">
        <f>IF(AND(E245&lt;&gt;"",E245&lt;&gt;0,F245&lt;&gt;""),(F245-E245)/E245*100,"")</f>
        <v/>
      </c>
      <c r="M245">
        <f>IF(ISNUMBER(G245),ABS(G245),"")</f>
        <v/>
      </c>
    </row>
    <row r="246">
      <c r="G246">
        <f>IF(AND(E246&lt;&gt;"",E246&lt;&gt;0,F246&lt;&gt;""),(F246-E246)/E246*100,"")</f>
        <v/>
      </c>
      <c r="M246">
        <f>IF(ISNUMBER(G246),ABS(G246),"")</f>
        <v/>
      </c>
    </row>
    <row r="247">
      <c r="G247">
        <f>IF(AND(E247&lt;&gt;"",E247&lt;&gt;0,F247&lt;&gt;""),(F247-E247)/E247*100,"")</f>
        <v/>
      </c>
      <c r="M247">
        <f>IF(ISNUMBER(G247),ABS(G247),"")</f>
        <v/>
      </c>
    </row>
    <row r="248">
      <c r="G248">
        <f>IF(AND(E248&lt;&gt;"",E248&lt;&gt;0,F248&lt;&gt;""),(F248-E248)/E248*100,"")</f>
        <v/>
      </c>
      <c r="M248">
        <f>IF(ISNUMBER(G248),ABS(G248),"")</f>
        <v/>
      </c>
    </row>
    <row r="249">
      <c r="G249">
        <f>IF(AND(E249&lt;&gt;"",E249&lt;&gt;0,F249&lt;&gt;""),(F249-E249)/E249*100,"")</f>
        <v/>
      </c>
      <c r="M249">
        <f>IF(ISNUMBER(G249),ABS(G249),"")</f>
        <v/>
      </c>
    </row>
    <row r="250">
      <c r="G250">
        <f>IF(AND(E250&lt;&gt;"",E250&lt;&gt;0,F250&lt;&gt;""),(F250-E250)/E250*100,"")</f>
        <v/>
      </c>
      <c r="M250">
        <f>IF(ISNUMBER(G250),ABS(G250),"")</f>
        <v/>
      </c>
    </row>
    <row r="251">
      <c r="G251">
        <f>IF(AND(E251&lt;&gt;"",E251&lt;&gt;0,F251&lt;&gt;""),(F251-E251)/E251*100,"")</f>
        <v/>
      </c>
      <c r="M251">
        <f>IF(ISNUMBER(G251),ABS(G251),"")</f>
        <v/>
      </c>
    </row>
    <row r="252">
      <c r="G252">
        <f>IF(AND(E252&lt;&gt;"",E252&lt;&gt;0,F252&lt;&gt;""),(F252-E252)/E252*100,"")</f>
        <v/>
      </c>
      <c r="M252">
        <f>IF(ISNUMBER(G252),ABS(G252),"")</f>
        <v/>
      </c>
    </row>
    <row r="253">
      <c r="G253">
        <f>IF(AND(E253&lt;&gt;"",E253&lt;&gt;0,F253&lt;&gt;""),(F253-E253)/E253*100,"")</f>
        <v/>
      </c>
      <c r="M253">
        <f>IF(ISNUMBER(G253),ABS(G253),"")</f>
        <v/>
      </c>
    </row>
    <row r="254">
      <c r="G254">
        <f>IF(AND(E254&lt;&gt;"",E254&lt;&gt;0,F254&lt;&gt;""),(F254-E254)/E254*100,"")</f>
        <v/>
      </c>
      <c r="M254">
        <f>IF(ISNUMBER(G254),ABS(G254),"")</f>
        <v/>
      </c>
    </row>
    <row r="255">
      <c r="G255">
        <f>IF(AND(E255&lt;&gt;"",E255&lt;&gt;0,F255&lt;&gt;""),(F255-E255)/E255*100,"")</f>
        <v/>
      </c>
      <c r="M255">
        <f>IF(ISNUMBER(G255),ABS(G255),"")</f>
        <v/>
      </c>
    </row>
    <row r="256">
      <c r="G256">
        <f>IF(AND(E256&lt;&gt;"",E256&lt;&gt;0,F256&lt;&gt;""),(F256-E256)/E256*100,"")</f>
        <v/>
      </c>
      <c r="M256">
        <f>IF(ISNUMBER(G256),ABS(G256),"")</f>
        <v/>
      </c>
    </row>
    <row r="257">
      <c r="G257">
        <f>IF(AND(E257&lt;&gt;"",E257&lt;&gt;0,F257&lt;&gt;""),(F257-E257)/E257*100,"")</f>
        <v/>
      </c>
      <c r="M257">
        <f>IF(ISNUMBER(G257),ABS(G257),"")</f>
        <v/>
      </c>
    </row>
    <row r="258">
      <c r="G258">
        <f>IF(AND(E258&lt;&gt;"",E258&lt;&gt;0,F258&lt;&gt;""),(F258-E258)/E258*100,"")</f>
        <v/>
      </c>
      <c r="M258">
        <f>IF(ISNUMBER(G258),ABS(G258),"")</f>
        <v/>
      </c>
    </row>
    <row r="259">
      <c r="G259">
        <f>IF(AND(E259&lt;&gt;"",E259&lt;&gt;0,F259&lt;&gt;""),(F259-E259)/E259*100,"")</f>
        <v/>
      </c>
      <c r="M259">
        <f>IF(ISNUMBER(G259),ABS(G259),"")</f>
        <v/>
      </c>
    </row>
    <row r="260">
      <c r="G260">
        <f>IF(AND(E260&lt;&gt;"",E260&lt;&gt;0,F260&lt;&gt;""),(F260-E260)/E260*100,"")</f>
        <v/>
      </c>
      <c r="M260">
        <f>IF(ISNUMBER(G260),ABS(G260),"")</f>
        <v/>
      </c>
    </row>
    <row r="261">
      <c r="G261">
        <f>IF(AND(E261&lt;&gt;"",E261&lt;&gt;0,F261&lt;&gt;""),(F261-E261)/E261*100,"")</f>
        <v/>
      </c>
      <c r="M261">
        <f>IF(ISNUMBER(G261),ABS(G261),"")</f>
        <v/>
      </c>
    </row>
    <row r="262">
      <c r="G262">
        <f>IF(AND(E262&lt;&gt;"",E262&lt;&gt;0,F262&lt;&gt;""),(F262-E262)/E262*100,"")</f>
        <v/>
      </c>
      <c r="M262">
        <f>IF(ISNUMBER(G262),ABS(G262),"")</f>
        <v/>
      </c>
    </row>
    <row r="263">
      <c r="G263">
        <f>IF(AND(E263&lt;&gt;"",E263&lt;&gt;0,F263&lt;&gt;""),(F263-E263)/E263*100,"")</f>
        <v/>
      </c>
      <c r="M263">
        <f>IF(ISNUMBER(G263),ABS(G263),"")</f>
        <v/>
      </c>
    </row>
    <row r="264">
      <c r="G264">
        <f>IF(AND(E264&lt;&gt;"",E264&lt;&gt;0,F264&lt;&gt;""),(F264-E264)/E264*100,"")</f>
        <v/>
      </c>
      <c r="M264">
        <f>IF(ISNUMBER(G264),ABS(G264),"")</f>
        <v/>
      </c>
    </row>
    <row r="265">
      <c r="G265">
        <f>IF(AND(E265&lt;&gt;"",E265&lt;&gt;0,F265&lt;&gt;""),(F265-E265)/E265*100,"")</f>
        <v/>
      </c>
      <c r="M265">
        <f>IF(ISNUMBER(G265),ABS(G265),"")</f>
        <v/>
      </c>
    </row>
    <row r="266">
      <c r="G266">
        <f>IF(AND(E266&lt;&gt;"",E266&lt;&gt;0,F266&lt;&gt;""),(F266-E266)/E266*100,"")</f>
        <v/>
      </c>
      <c r="M266">
        <f>IF(ISNUMBER(G266),ABS(G266),"")</f>
        <v/>
      </c>
    </row>
    <row r="267">
      <c r="G267">
        <f>IF(AND(E267&lt;&gt;"",E267&lt;&gt;0,F267&lt;&gt;""),(F267-E267)/E267*100,"")</f>
        <v/>
      </c>
      <c r="M267">
        <f>IF(ISNUMBER(G267),ABS(G267),"")</f>
        <v/>
      </c>
    </row>
    <row r="268">
      <c r="G268">
        <f>IF(AND(E268&lt;&gt;"",E268&lt;&gt;0,F268&lt;&gt;""),(F268-E268)/E268*100,"")</f>
        <v/>
      </c>
      <c r="M268">
        <f>IF(ISNUMBER(G268),ABS(G268),"")</f>
        <v/>
      </c>
    </row>
    <row r="269">
      <c r="G269">
        <f>IF(AND(E269&lt;&gt;"",E269&lt;&gt;0,F269&lt;&gt;""),(F269-E269)/E269*100,"")</f>
        <v/>
      </c>
      <c r="M269">
        <f>IF(ISNUMBER(G269),ABS(G269),"")</f>
        <v/>
      </c>
    </row>
    <row r="270">
      <c r="G270">
        <f>IF(AND(E270&lt;&gt;"",E270&lt;&gt;0,F270&lt;&gt;""),(F270-E270)/E270*100,"")</f>
        <v/>
      </c>
      <c r="M270">
        <f>IF(ISNUMBER(G270),ABS(G270),"")</f>
        <v/>
      </c>
    </row>
    <row r="271">
      <c r="G271">
        <f>IF(AND(E271&lt;&gt;"",E271&lt;&gt;0,F271&lt;&gt;""),(F271-E271)/E271*100,"")</f>
        <v/>
      </c>
      <c r="M271">
        <f>IF(ISNUMBER(G271),ABS(G271),"")</f>
        <v/>
      </c>
    </row>
    <row r="272">
      <c r="G272">
        <f>IF(AND(E272&lt;&gt;"",E272&lt;&gt;0,F272&lt;&gt;""),(F272-E272)/E272*100,"")</f>
        <v/>
      </c>
      <c r="M272">
        <f>IF(ISNUMBER(G272),ABS(G272),"")</f>
        <v/>
      </c>
    </row>
    <row r="273">
      <c r="G273">
        <f>IF(AND(E273&lt;&gt;"",E273&lt;&gt;0,F273&lt;&gt;""),(F273-E273)/E273*100,"")</f>
        <v/>
      </c>
      <c r="M273">
        <f>IF(ISNUMBER(G273),ABS(G273),"")</f>
        <v/>
      </c>
    </row>
    <row r="274">
      <c r="G274">
        <f>IF(AND(E274&lt;&gt;"",E274&lt;&gt;0,F274&lt;&gt;""),(F274-E274)/E274*100,"")</f>
        <v/>
      </c>
      <c r="M274">
        <f>IF(ISNUMBER(G274),ABS(G274),"")</f>
        <v/>
      </c>
    </row>
    <row r="275">
      <c r="G275">
        <f>IF(AND(E275&lt;&gt;"",E275&lt;&gt;0,F275&lt;&gt;""),(F275-E275)/E275*100,"")</f>
        <v/>
      </c>
      <c r="M275">
        <f>IF(ISNUMBER(G275),ABS(G275),"")</f>
        <v/>
      </c>
    </row>
    <row r="276">
      <c r="G276">
        <f>IF(AND(E276&lt;&gt;"",E276&lt;&gt;0,F276&lt;&gt;""),(F276-E276)/E276*100,"")</f>
        <v/>
      </c>
      <c r="M276">
        <f>IF(ISNUMBER(G276),ABS(G276),"")</f>
        <v/>
      </c>
    </row>
    <row r="277">
      <c r="G277">
        <f>IF(AND(E277&lt;&gt;"",E277&lt;&gt;0,F277&lt;&gt;""),(F277-E277)/E277*100,"")</f>
        <v/>
      </c>
      <c r="M277">
        <f>IF(ISNUMBER(G277),ABS(G277),"")</f>
        <v/>
      </c>
    </row>
    <row r="278">
      <c r="G278">
        <f>IF(AND(E278&lt;&gt;"",E278&lt;&gt;0,F278&lt;&gt;""),(F278-E278)/E278*100,"")</f>
        <v/>
      </c>
      <c r="M278">
        <f>IF(ISNUMBER(G278),ABS(G278),"")</f>
        <v/>
      </c>
    </row>
    <row r="279">
      <c r="G279">
        <f>IF(AND(E279&lt;&gt;"",E279&lt;&gt;0,F279&lt;&gt;""),(F279-E279)/E279*100,"")</f>
        <v/>
      </c>
      <c r="M279">
        <f>IF(ISNUMBER(G279),ABS(G279),"")</f>
        <v/>
      </c>
    </row>
    <row r="280">
      <c r="G280">
        <f>IF(AND(E280&lt;&gt;"",E280&lt;&gt;0,F280&lt;&gt;""),(F280-E280)/E280*100,"")</f>
        <v/>
      </c>
      <c r="M280">
        <f>IF(ISNUMBER(G280),ABS(G280),"")</f>
        <v/>
      </c>
    </row>
    <row r="281">
      <c r="G281">
        <f>IF(AND(E281&lt;&gt;"",E281&lt;&gt;0,F281&lt;&gt;""),(F281-E281)/E281*100,"")</f>
        <v/>
      </c>
      <c r="M281">
        <f>IF(ISNUMBER(G281),ABS(G281),"")</f>
        <v/>
      </c>
    </row>
    <row r="282">
      <c r="G282">
        <f>IF(AND(E282&lt;&gt;"",E282&lt;&gt;0,F282&lt;&gt;""),(F282-E282)/E282*100,"")</f>
        <v/>
      </c>
      <c r="M282">
        <f>IF(ISNUMBER(G282),ABS(G282),"")</f>
        <v/>
      </c>
    </row>
    <row r="283">
      <c r="G283">
        <f>IF(AND(E283&lt;&gt;"",E283&lt;&gt;0,F283&lt;&gt;""),(F283-E283)/E283*100,"")</f>
        <v/>
      </c>
      <c r="M283">
        <f>IF(ISNUMBER(G283),ABS(G283),"")</f>
        <v/>
      </c>
    </row>
    <row r="284">
      <c r="G284">
        <f>IF(AND(E284&lt;&gt;"",E284&lt;&gt;0,F284&lt;&gt;""),(F284-E284)/E284*100,"")</f>
        <v/>
      </c>
      <c r="M284">
        <f>IF(ISNUMBER(G284),ABS(G284),"")</f>
        <v/>
      </c>
    </row>
    <row r="285">
      <c r="G285">
        <f>IF(AND(E285&lt;&gt;"",E285&lt;&gt;0,F285&lt;&gt;""),(F285-E285)/E285*100,"")</f>
        <v/>
      </c>
      <c r="M285">
        <f>IF(ISNUMBER(G285),ABS(G285),"")</f>
        <v/>
      </c>
    </row>
    <row r="286">
      <c r="G286">
        <f>IF(AND(E286&lt;&gt;"",E286&lt;&gt;0,F286&lt;&gt;""),(F286-E286)/E286*100,"")</f>
        <v/>
      </c>
      <c r="M286">
        <f>IF(ISNUMBER(G286),ABS(G286),"")</f>
        <v/>
      </c>
    </row>
    <row r="287">
      <c r="G287">
        <f>IF(AND(E287&lt;&gt;"",E287&lt;&gt;0,F287&lt;&gt;""),(F287-E287)/E287*100,"")</f>
        <v/>
      </c>
      <c r="M287">
        <f>IF(ISNUMBER(G287),ABS(G287),"")</f>
        <v/>
      </c>
    </row>
    <row r="288">
      <c r="G288">
        <f>IF(AND(E288&lt;&gt;"",E288&lt;&gt;0,F288&lt;&gt;""),(F288-E288)/E288*100,"")</f>
        <v/>
      </c>
      <c r="M288">
        <f>IF(ISNUMBER(G288),ABS(G288),"")</f>
        <v/>
      </c>
    </row>
    <row r="289">
      <c r="G289">
        <f>IF(AND(E289&lt;&gt;"",E289&lt;&gt;0,F289&lt;&gt;""),(F289-E289)/E289*100,"")</f>
        <v/>
      </c>
      <c r="M289">
        <f>IF(ISNUMBER(G289),ABS(G289),"")</f>
        <v/>
      </c>
    </row>
    <row r="290">
      <c r="G290">
        <f>IF(AND(E290&lt;&gt;"",E290&lt;&gt;0,F290&lt;&gt;""),(F290-E290)/E290*100,"")</f>
        <v/>
      </c>
      <c r="M290">
        <f>IF(ISNUMBER(G290),ABS(G290),"")</f>
        <v/>
      </c>
    </row>
    <row r="291">
      <c r="G291">
        <f>IF(AND(E291&lt;&gt;"",E291&lt;&gt;0,F291&lt;&gt;""),(F291-E291)/E291*100,"")</f>
        <v/>
      </c>
      <c r="M291">
        <f>IF(ISNUMBER(G291),ABS(G291),"")</f>
        <v/>
      </c>
    </row>
    <row r="292">
      <c r="G292">
        <f>IF(AND(E292&lt;&gt;"",E292&lt;&gt;0,F292&lt;&gt;""),(F292-E292)/E292*100,"")</f>
        <v/>
      </c>
      <c r="M292">
        <f>IF(ISNUMBER(G292),ABS(G292),"")</f>
        <v/>
      </c>
    </row>
    <row r="293">
      <c r="G293">
        <f>IF(AND(E293&lt;&gt;"",E293&lt;&gt;0,F293&lt;&gt;""),(F293-E293)/E293*100,"")</f>
        <v/>
      </c>
      <c r="M293">
        <f>IF(ISNUMBER(G293),ABS(G293),"")</f>
        <v/>
      </c>
    </row>
    <row r="294">
      <c r="G294">
        <f>IF(AND(E294&lt;&gt;"",E294&lt;&gt;0,F294&lt;&gt;""),(F294-E294)/E294*100,"")</f>
        <v/>
      </c>
      <c r="M294">
        <f>IF(ISNUMBER(G294),ABS(G294),"")</f>
        <v/>
      </c>
    </row>
    <row r="295">
      <c r="G295">
        <f>IF(AND(E295&lt;&gt;"",E295&lt;&gt;0,F295&lt;&gt;""),(F295-E295)/E295*100,"")</f>
        <v/>
      </c>
      <c r="M295">
        <f>IF(ISNUMBER(G295),ABS(G295),"")</f>
        <v/>
      </c>
    </row>
    <row r="296">
      <c r="G296">
        <f>IF(AND(E296&lt;&gt;"",E296&lt;&gt;0,F296&lt;&gt;""),(F296-E296)/E296*100,"")</f>
        <v/>
      </c>
      <c r="M296">
        <f>IF(ISNUMBER(G296),ABS(G296),"")</f>
        <v/>
      </c>
    </row>
    <row r="297">
      <c r="G297">
        <f>IF(AND(E297&lt;&gt;"",E297&lt;&gt;0,F297&lt;&gt;""),(F297-E297)/E297*100,"")</f>
        <v/>
      </c>
      <c r="M297">
        <f>IF(ISNUMBER(G297),ABS(G297),"")</f>
        <v/>
      </c>
    </row>
    <row r="298">
      <c r="G298">
        <f>IF(AND(E298&lt;&gt;"",E298&lt;&gt;0,F298&lt;&gt;""),(F298-E298)/E298*100,"")</f>
        <v/>
      </c>
      <c r="M298">
        <f>IF(ISNUMBER(G298),ABS(G298),"")</f>
        <v/>
      </c>
    </row>
    <row r="299">
      <c r="G299">
        <f>IF(AND(E299&lt;&gt;"",E299&lt;&gt;0,F299&lt;&gt;""),(F299-E299)/E299*100,"")</f>
        <v/>
      </c>
      <c r="M299">
        <f>IF(ISNUMBER(G299),ABS(G299),"")</f>
        <v/>
      </c>
    </row>
    <row r="300">
      <c r="G300">
        <f>IF(AND(E300&lt;&gt;"",E300&lt;&gt;0,F300&lt;&gt;""),(F300-E300)/E300*100,"")</f>
        <v/>
      </c>
      <c r="M300">
        <f>IF(ISNUMBER(G300),ABS(G300),"")</f>
        <v/>
      </c>
    </row>
    <row r="301">
      <c r="G301">
        <f>IF(AND(E301&lt;&gt;"",E301&lt;&gt;0,F301&lt;&gt;""),(F301-E301)/E301*100,"")</f>
        <v/>
      </c>
      <c r="M301">
        <f>IF(ISNUMBER(G301),ABS(G301),"")</f>
        <v/>
      </c>
    </row>
    <row r="302">
      <c r="G302">
        <f>IF(AND(E302&lt;&gt;"",E302&lt;&gt;0,F302&lt;&gt;""),(F302-E302)/E302*100,"")</f>
        <v/>
      </c>
      <c r="M302">
        <f>IF(ISNUMBER(G302),ABS(G302),"")</f>
        <v/>
      </c>
    </row>
    <row r="303">
      <c r="G303">
        <f>IF(AND(E303&lt;&gt;"",E303&lt;&gt;0,F303&lt;&gt;""),(F303-E303)/E303*100,"")</f>
        <v/>
      </c>
      <c r="M303">
        <f>IF(ISNUMBER(G303),ABS(G303),"")</f>
        <v/>
      </c>
    </row>
    <row r="304">
      <c r="G304">
        <f>IF(AND(E304&lt;&gt;"",E304&lt;&gt;0,F304&lt;&gt;""),(F304-E304)/E304*100,"")</f>
        <v/>
      </c>
      <c r="M304">
        <f>IF(ISNUMBER(G304),ABS(G304),"")</f>
        <v/>
      </c>
    </row>
    <row r="305">
      <c r="G305">
        <f>IF(AND(E305&lt;&gt;"",E305&lt;&gt;0,F305&lt;&gt;""),(F305-E305)/E305*100,"")</f>
        <v/>
      </c>
      <c r="M305">
        <f>IF(ISNUMBER(G305),ABS(G305),"")</f>
        <v/>
      </c>
    </row>
    <row r="306">
      <c r="G306">
        <f>IF(AND(E306&lt;&gt;"",E306&lt;&gt;0,F306&lt;&gt;""),(F306-E306)/E306*100,"")</f>
        <v/>
      </c>
      <c r="M306">
        <f>IF(ISNUMBER(G306),ABS(G306),"")</f>
        <v/>
      </c>
    </row>
    <row r="307">
      <c r="G307">
        <f>IF(AND(E307&lt;&gt;"",E307&lt;&gt;0,F307&lt;&gt;""),(F307-E307)/E307*100,"")</f>
        <v/>
      </c>
      <c r="M307">
        <f>IF(ISNUMBER(G307),ABS(G307),"")</f>
        <v/>
      </c>
    </row>
    <row r="308">
      <c r="G308">
        <f>IF(AND(E308&lt;&gt;"",E308&lt;&gt;0,F308&lt;&gt;""),(F308-E308)/E308*100,"")</f>
        <v/>
      </c>
      <c r="M308">
        <f>IF(ISNUMBER(G308),ABS(G308),"")</f>
        <v/>
      </c>
    </row>
    <row r="309">
      <c r="G309">
        <f>IF(AND(E309&lt;&gt;"",E309&lt;&gt;0,F309&lt;&gt;""),(F309-E309)/E309*100,"")</f>
        <v/>
      </c>
      <c r="M309">
        <f>IF(ISNUMBER(G309),ABS(G309),"")</f>
        <v/>
      </c>
    </row>
    <row r="310">
      <c r="G310">
        <f>IF(AND(E310&lt;&gt;"",E310&lt;&gt;0,F310&lt;&gt;""),(F310-E310)/E310*100,"")</f>
        <v/>
      </c>
      <c r="M310">
        <f>IF(ISNUMBER(G310),ABS(G310),"")</f>
        <v/>
      </c>
    </row>
    <row r="311">
      <c r="G311">
        <f>IF(AND(E311&lt;&gt;"",E311&lt;&gt;0,F311&lt;&gt;""),(F311-E311)/E311*100,"")</f>
        <v/>
      </c>
      <c r="M311">
        <f>IF(ISNUMBER(G311),ABS(G311),"")</f>
        <v/>
      </c>
    </row>
    <row r="312">
      <c r="G312">
        <f>IF(AND(E312&lt;&gt;"",E312&lt;&gt;0,F312&lt;&gt;""),(F312-E312)/E312*100,"")</f>
        <v/>
      </c>
      <c r="M312">
        <f>IF(ISNUMBER(G312),ABS(G312),"")</f>
        <v/>
      </c>
    </row>
    <row r="313">
      <c r="G313">
        <f>IF(AND(E313&lt;&gt;"",E313&lt;&gt;0,F313&lt;&gt;""),(F313-E313)/E313*100,"")</f>
        <v/>
      </c>
      <c r="M313">
        <f>IF(ISNUMBER(G313),ABS(G313),"")</f>
        <v/>
      </c>
    </row>
    <row r="314">
      <c r="G314">
        <f>IF(AND(E314&lt;&gt;"",E314&lt;&gt;0,F314&lt;&gt;""),(F314-E314)/E314*100,"")</f>
        <v/>
      </c>
      <c r="M314">
        <f>IF(ISNUMBER(G314),ABS(G314),"")</f>
        <v/>
      </c>
    </row>
    <row r="315">
      <c r="G315">
        <f>IF(AND(E315&lt;&gt;"",E315&lt;&gt;0,F315&lt;&gt;""),(F315-E315)/E315*100,"")</f>
        <v/>
      </c>
      <c r="M315">
        <f>IF(ISNUMBER(G315),ABS(G315),"")</f>
        <v/>
      </c>
    </row>
    <row r="316">
      <c r="G316">
        <f>IF(AND(E316&lt;&gt;"",E316&lt;&gt;0,F316&lt;&gt;""),(F316-E316)/E316*100,"")</f>
        <v/>
      </c>
      <c r="M316">
        <f>IF(ISNUMBER(G316),ABS(G316),"")</f>
        <v/>
      </c>
    </row>
    <row r="317">
      <c r="G317">
        <f>IF(AND(E317&lt;&gt;"",E317&lt;&gt;0,F317&lt;&gt;""),(F317-E317)/E317*100,"")</f>
        <v/>
      </c>
      <c r="M317">
        <f>IF(ISNUMBER(G317),ABS(G317),"")</f>
        <v/>
      </c>
    </row>
    <row r="318">
      <c r="G318">
        <f>IF(AND(E318&lt;&gt;"",E318&lt;&gt;0,F318&lt;&gt;""),(F318-E318)/E318*100,"")</f>
        <v/>
      </c>
      <c r="M318">
        <f>IF(ISNUMBER(G318),ABS(G318),"")</f>
        <v/>
      </c>
    </row>
    <row r="319">
      <c r="G319">
        <f>IF(AND(E319&lt;&gt;"",E319&lt;&gt;0,F319&lt;&gt;""),(F319-E319)/E319*100,"")</f>
        <v/>
      </c>
      <c r="M319">
        <f>IF(ISNUMBER(G319),ABS(G319),"")</f>
        <v/>
      </c>
    </row>
    <row r="320">
      <c r="G320">
        <f>IF(AND(E320&lt;&gt;"",E320&lt;&gt;0,F320&lt;&gt;""),(F320-E320)/E320*100,"")</f>
        <v/>
      </c>
      <c r="M320">
        <f>IF(ISNUMBER(G320),ABS(G320),"")</f>
        <v/>
      </c>
    </row>
    <row r="321">
      <c r="G321">
        <f>IF(AND(E321&lt;&gt;"",E321&lt;&gt;0,F321&lt;&gt;""),(F321-E321)/E321*100,"")</f>
        <v/>
      </c>
      <c r="M321">
        <f>IF(ISNUMBER(G321),ABS(G321),"")</f>
        <v/>
      </c>
    </row>
    <row r="322">
      <c r="G322">
        <f>IF(AND(E322&lt;&gt;"",E322&lt;&gt;0,F322&lt;&gt;""),(F322-E322)/E322*100,"")</f>
        <v/>
      </c>
      <c r="M322">
        <f>IF(ISNUMBER(G322),ABS(G322),"")</f>
        <v/>
      </c>
    </row>
    <row r="323">
      <c r="G323">
        <f>IF(AND(E323&lt;&gt;"",E323&lt;&gt;0,F323&lt;&gt;""),(F323-E323)/E323*100,"")</f>
        <v/>
      </c>
      <c r="M323">
        <f>IF(ISNUMBER(G323),ABS(G323),"")</f>
        <v/>
      </c>
    </row>
    <row r="324">
      <c r="G324">
        <f>IF(AND(E324&lt;&gt;"",E324&lt;&gt;0,F324&lt;&gt;""),(F324-E324)/E324*100,"")</f>
        <v/>
      </c>
      <c r="M324">
        <f>IF(ISNUMBER(G324),ABS(G324),"")</f>
        <v/>
      </c>
    </row>
    <row r="325">
      <c r="G325">
        <f>IF(AND(E325&lt;&gt;"",E325&lt;&gt;0,F325&lt;&gt;""),(F325-E325)/E325*100,"")</f>
        <v/>
      </c>
      <c r="M325">
        <f>IF(ISNUMBER(G325),ABS(G325),"")</f>
        <v/>
      </c>
    </row>
    <row r="326">
      <c r="G326">
        <f>IF(AND(E326&lt;&gt;"",E326&lt;&gt;0,F326&lt;&gt;""),(F326-E326)/E326*100,"")</f>
        <v/>
      </c>
      <c r="M326">
        <f>IF(ISNUMBER(G326),ABS(G326),"")</f>
        <v/>
      </c>
    </row>
    <row r="327">
      <c r="G327">
        <f>IF(AND(E327&lt;&gt;"",E327&lt;&gt;0,F327&lt;&gt;""),(F327-E327)/E327*100,"")</f>
        <v/>
      </c>
      <c r="M327">
        <f>IF(ISNUMBER(G327),ABS(G327),"")</f>
        <v/>
      </c>
    </row>
    <row r="328">
      <c r="G328">
        <f>IF(AND(E328&lt;&gt;"",E328&lt;&gt;0,F328&lt;&gt;""),(F328-E328)/E328*100,"")</f>
        <v/>
      </c>
      <c r="M328">
        <f>IF(ISNUMBER(G328),ABS(G328),"")</f>
        <v/>
      </c>
    </row>
    <row r="329">
      <c r="G329">
        <f>IF(AND(E329&lt;&gt;"",E329&lt;&gt;0,F329&lt;&gt;""),(F329-E329)/E329*100,"")</f>
        <v/>
      </c>
      <c r="M329">
        <f>IF(ISNUMBER(G329),ABS(G329),"")</f>
        <v/>
      </c>
    </row>
    <row r="330">
      <c r="G330">
        <f>IF(AND(E330&lt;&gt;"",E330&lt;&gt;0,F330&lt;&gt;""),(F330-E330)/E330*100,"")</f>
        <v/>
      </c>
      <c r="M330">
        <f>IF(ISNUMBER(G330),ABS(G330),"")</f>
        <v/>
      </c>
    </row>
    <row r="331">
      <c r="G331">
        <f>IF(AND(E331&lt;&gt;"",E331&lt;&gt;0,F331&lt;&gt;""),(F331-E331)/E331*100,"")</f>
        <v/>
      </c>
      <c r="M331">
        <f>IF(ISNUMBER(G331),ABS(G331),"")</f>
        <v/>
      </c>
    </row>
    <row r="332">
      <c r="G332">
        <f>IF(AND(E332&lt;&gt;"",E332&lt;&gt;0,F332&lt;&gt;""),(F332-E332)/E332*100,"")</f>
        <v/>
      </c>
      <c r="M332">
        <f>IF(ISNUMBER(G332),ABS(G332),"")</f>
        <v/>
      </c>
    </row>
    <row r="333">
      <c r="G333">
        <f>IF(AND(E333&lt;&gt;"",E333&lt;&gt;0,F333&lt;&gt;""),(F333-E333)/E333*100,"")</f>
        <v/>
      </c>
      <c r="M333">
        <f>IF(ISNUMBER(G333),ABS(G333),"")</f>
        <v/>
      </c>
    </row>
    <row r="334">
      <c r="G334">
        <f>IF(AND(E334&lt;&gt;"",E334&lt;&gt;0,F334&lt;&gt;""),(F334-E334)/E334*100,"")</f>
        <v/>
      </c>
      <c r="M334">
        <f>IF(ISNUMBER(G334),ABS(G334),"")</f>
        <v/>
      </c>
    </row>
    <row r="335">
      <c r="G335">
        <f>IF(AND(E335&lt;&gt;"",E335&lt;&gt;0,F335&lt;&gt;""),(F335-E335)/E335*100,"")</f>
        <v/>
      </c>
      <c r="M335">
        <f>IF(ISNUMBER(G335),ABS(G335),"")</f>
        <v/>
      </c>
    </row>
    <row r="336">
      <c r="G336">
        <f>IF(AND(E336&lt;&gt;"",E336&lt;&gt;0,F336&lt;&gt;""),(F336-E336)/E336*100,"")</f>
        <v/>
      </c>
      <c r="M336">
        <f>IF(ISNUMBER(G336),ABS(G336),"")</f>
        <v/>
      </c>
    </row>
    <row r="337">
      <c r="G337">
        <f>IF(AND(E337&lt;&gt;"",E337&lt;&gt;0,F337&lt;&gt;""),(F337-E337)/E337*100,"")</f>
        <v/>
      </c>
      <c r="M337">
        <f>IF(ISNUMBER(G337),ABS(G337),"")</f>
        <v/>
      </c>
    </row>
    <row r="338">
      <c r="G338">
        <f>IF(AND(E338&lt;&gt;"",E338&lt;&gt;0,F338&lt;&gt;""),(F338-E338)/E338*100,"")</f>
        <v/>
      </c>
      <c r="M338">
        <f>IF(ISNUMBER(G338),ABS(G338),"")</f>
        <v/>
      </c>
    </row>
    <row r="339">
      <c r="G339">
        <f>IF(AND(E339&lt;&gt;"",E339&lt;&gt;0,F339&lt;&gt;""),(F339-E339)/E339*100,"")</f>
        <v/>
      </c>
      <c r="M339">
        <f>IF(ISNUMBER(G339),ABS(G339),"")</f>
        <v/>
      </c>
    </row>
    <row r="340">
      <c r="G340">
        <f>IF(AND(E340&lt;&gt;"",E340&lt;&gt;0,F340&lt;&gt;""),(F340-E340)/E340*100,"")</f>
        <v/>
      </c>
      <c r="M340">
        <f>IF(ISNUMBER(G340),ABS(G340),"")</f>
        <v/>
      </c>
    </row>
    <row r="341">
      <c r="G341">
        <f>IF(AND(E341&lt;&gt;"",E341&lt;&gt;0,F341&lt;&gt;""),(F341-E341)/E341*100,"")</f>
        <v/>
      </c>
      <c r="M341">
        <f>IF(ISNUMBER(G341),ABS(G341),"")</f>
        <v/>
      </c>
    </row>
    <row r="342">
      <c r="G342">
        <f>IF(AND(E342&lt;&gt;"",E342&lt;&gt;0,F342&lt;&gt;""),(F342-E342)/E342*100,"")</f>
        <v/>
      </c>
      <c r="M342">
        <f>IF(ISNUMBER(G342),ABS(G342),"")</f>
        <v/>
      </c>
    </row>
    <row r="343">
      <c r="G343">
        <f>IF(AND(E343&lt;&gt;"",E343&lt;&gt;0,F343&lt;&gt;""),(F343-E343)/E343*100,"")</f>
        <v/>
      </c>
      <c r="M343">
        <f>IF(ISNUMBER(G343),ABS(G343),"")</f>
        <v/>
      </c>
    </row>
    <row r="344">
      <c r="G344">
        <f>IF(AND(E344&lt;&gt;"",E344&lt;&gt;0,F344&lt;&gt;""),(F344-E344)/E344*100,"")</f>
        <v/>
      </c>
      <c r="M344">
        <f>IF(ISNUMBER(G344),ABS(G344),"")</f>
        <v/>
      </c>
    </row>
    <row r="345">
      <c r="G345">
        <f>IF(AND(E345&lt;&gt;"",E345&lt;&gt;0,F345&lt;&gt;""),(F345-E345)/E345*100,"")</f>
        <v/>
      </c>
      <c r="M345">
        <f>IF(ISNUMBER(G345),ABS(G345),"")</f>
        <v/>
      </c>
    </row>
    <row r="346">
      <c r="G346">
        <f>IF(AND(E346&lt;&gt;"",E346&lt;&gt;0,F346&lt;&gt;""),(F346-E346)/E346*100,"")</f>
        <v/>
      </c>
      <c r="M346">
        <f>IF(ISNUMBER(G346),ABS(G346),"")</f>
        <v/>
      </c>
    </row>
    <row r="347">
      <c r="G347">
        <f>IF(AND(E347&lt;&gt;"",E347&lt;&gt;0,F347&lt;&gt;""),(F347-E347)/E347*100,"")</f>
        <v/>
      </c>
      <c r="M347">
        <f>IF(ISNUMBER(G347),ABS(G347),"")</f>
        <v/>
      </c>
    </row>
    <row r="348">
      <c r="G348">
        <f>IF(AND(E348&lt;&gt;"",E348&lt;&gt;0,F348&lt;&gt;""),(F348-E348)/E348*100,"")</f>
        <v/>
      </c>
      <c r="M348">
        <f>IF(ISNUMBER(G348),ABS(G348),"")</f>
        <v/>
      </c>
    </row>
    <row r="349">
      <c r="G349">
        <f>IF(AND(E349&lt;&gt;"",E349&lt;&gt;0,F349&lt;&gt;""),(F349-E349)/E349*100,"")</f>
        <v/>
      </c>
      <c r="M349">
        <f>IF(ISNUMBER(G349),ABS(G349),"")</f>
        <v/>
      </c>
    </row>
    <row r="350">
      <c r="G350">
        <f>IF(AND(E350&lt;&gt;"",E350&lt;&gt;0,F350&lt;&gt;""),(F350-E350)/E350*100,"")</f>
        <v/>
      </c>
      <c r="M350">
        <f>IF(ISNUMBER(G350),ABS(G350),"")</f>
        <v/>
      </c>
    </row>
    <row r="351">
      <c r="G351">
        <f>IF(AND(E351&lt;&gt;"",E351&lt;&gt;0,F351&lt;&gt;""),(F351-E351)/E351*100,"")</f>
        <v/>
      </c>
      <c r="M351">
        <f>IF(ISNUMBER(G351),ABS(G351),"")</f>
        <v/>
      </c>
    </row>
    <row r="352">
      <c r="G352">
        <f>IF(AND(E352&lt;&gt;"",E352&lt;&gt;0,F352&lt;&gt;""),(F352-E352)/E352*100,"")</f>
        <v/>
      </c>
      <c r="M352">
        <f>IF(ISNUMBER(G352),ABS(G352),"")</f>
        <v/>
      </c>
    </row>
    <row r="353">
      <c r="G353">
        <f>IF(AND(E353&lt;&gt;"",E353&lt;&gt;0,F353&lt;&gt;""),(F353-E353)/E353*100,"")</f>
        <v/>
      </c>
      <c r="M353">
        <f>IF(ISNUMBER(G353),ABS(G353),"")</f>
        <v/>
      </c>
    </row>
    <row r="354">
      <c r="G354">
        <f>IF(AND(E354&lt;&gt;"",E354&lt;&gt;0,F354&lt;&gt;""),(F354-E354)/E354*100,"")</f>
        <v/>
      </c>
      <c r="M354">
        <f>IF(ISNUMBER(G354),ABS(G354),"")</f>
        <v/>
      </c>
    </row>
    <row r="355">
      <c r="G355">
        <f>IF(AND(E355&lt;&gt;"",E355&lt;&gt;0,F355&lt;&gt;""),(F355-E355)/E355*100,"")</f>
        <v/>
      </c>
      <c r="M355">
        <f>IF(ISNUMBER(G355),ABS(G355),"")</f>
        <v/>
      </c>
    </row>
    <row r="356">
      <c r="G356">
        <f>IF(AND(E356&lt;&gt;"",E356&lt;&gt;0,F356&lt;&gt;""),(F356-E356)/E356*100,"")</f>
        <v/>
      </c>
      <c r="M356">
        <f>IF(ISNUMBER(G356),ABS(G356),"")</f>
        <v/>
      </c>
    </row>
    <row r="357">
      <c r="G357">
        <f>IF(AND(E357&lt;&gt;"",E357&lt;&gt;0,F357&lt;&gt;""),(F357-E357)/E357*100,"")</f>
        <v/>
      </c>
      <c r="M357">
        <f>IF(ISNUMBER(G357),ABS(G357),"")</f>
        <v/>
      </c>
    </row>
    <row r="358">
      <c r="G358">
        <f>IF(AND(E358&lt;&gt;"",E358&lt;&gt;0,F358&lt;&gt;""),(F358-E358)/E358*100,"")</f>
        <v/>
      </c>
      <c r="M358">
        <f>IF(ISNUMBER(G358),ABS(G358),"")</f>
        <v/>
      </c>
    </row>
    <row r="359">
      <c r="G359">
        <f>IF(AND(E359&lt;&gt;"",E359&lt;&gt;0,F359&lt;&gt;""),(F359-E359)/E359*100,"")</f>
        <v/>
      </c>
      <c r="M359">
        <f>IF(ISNUMBER(G359),ABS(G359),"")</f>
        <v/>
      </c>
    </row>
    <row r="360">
      <c r="G360">
        <f>IF(AND(E360&lt;&gt;"",E360&lt;&gt;0,F360&lt;&gt;""),(F360-E360)/E360*100,"")</f>
        <v/>
      </c>
      <c r="M360">
        <f>IF(ISNUMBER(G360),ABS(G360),"")</f>
        <v/>
      </c>
    </row>
    <row r="361">
      <c r="G361">
        <f>IF(AND(E361&lt;&gt;"",E361&lt;&gt;0,F361&lt;&gt;""),(F361-E361)/E361*100,"")</f>
        <v/>
      </c>
      <c r="M361">
        <f>IF(ISNUMBER(G361),ABS(G361),"")</f>
        <v/>
      </c>
    </row>
    <row r="362">
      <c r="G362">
        <f>IF(AND(E362&lt;&gt;"",E362&lt;&gt;0,F362&lt;&gt;""),(F362-E362)/E362*100,"")</f>
        <v/>
      </c>
      <c r="M362">
        <f>IF(ISNUMBER(G362),ABS(G362),"")</f>
        <v/>
      </c>
    </row>
    <row r="363">
      <c r="G363">
        <f>IF(AND(E363&lt;&gt;"",E363&lt;&gt;0,F363&lt;&gt;""),(F363-E363)/E363*100,"")</f>
        <v/>
      </c>
      <c r="M363">
        <f>IF(ISNUMBER(G363),ABS(G363),"")</f>
        <v/>
      </c>
    </row>
    <row r="364">
      <c r="G364">
        <f>IF(AND(E364&lt;&gt;"",E364&lt;&gt;0,F364&lt;&gt;""),(F364-E364)/E364*100,"")</f>
        <v/>
      </c>
      <c r="M364">
        <f>IF(ISNUMBER(G364),ABS(G364),"")</f>
        <v/>
      </c>
    </row>
    <row r="365">
      <c r="G365">
        <f>IF(AND(E365&lt;&gt;"",E365&lt;&gt;0,F365&lt;&gt;""),(F365-E365)/E365*100,"")</f>
        <v/>
      </c>
      <c r="M365">
        <f>IF(ISNUMBER(G365),ABS(G365),"")</f>
        <v/>
      </c>
    </row>
    <row r="366">
      <c r="G366">
        <f>IF(AND(E366&lt;&gt;"",E366&lt;&gt;0,F366&lt;&gt;""),(F366-E366)/E366*100,"")</f>
        <v/>
      </c>
      <c r="M366">
        <f>IF(ISNUMBER(G366),ABS(G366),"")</f>
        <v/>
      </c>
    </row>
    <row r="367">
      <c r="G367">
        <f>IF(AND(E367&lt;&gt;"",E367&lt;&gt;0,F367&lt;&gt;""),(F367-E367)/E367*100,"")</f>
        <v/>
      </c>
      <c r="M367">
        <f>IF(ISNUMBER(G367),ABS(G367),"")</f>
        <v/>
      </c>
    </row>
    <row r="368">
      <c r="G368">
        <f>IF(AND(E368&lt;&gt;"",E368&lt;&gt;0,F368&lt;&gt;""),(F368-E368)/E368*100,"")</f>
        <v/>
      </c>
      <c r="M368">
        <f>IF(ISNUMBER(G368),ABS(G368),"")</f>
        <v/>
      </c>
    </row>
    <row r="369">
      <c r="G369">
        <f>IF(AND(E369&lt;&gt;"",E369&lt;&gt;0,F369&lt;&gt;""),(F369-E369)/E369*100,"")</f>
        <v/>
      </c>
      <c r="M369">
        <f>IF(ISNUMBER(G369),ABS(G369),"")</f>
        <v/>
      </c>
    </row>
    <row r="370">
      <c r="G370">
        <f>IF(AND(E370&lt;&gt;"",E370&lt;&gt;0,F370&lt;&gt;""),(F370-E370)/E370*100,"")</f>
        <v/>
      </c>
      <c r="M370">
        <f>IF(ISNUMBER(G370),ABS(G370),"")</f>
        <v/>
      </c>
    </row>
    <row r="371">
      <c r="G371">
        <f>IF(AND(E371&lt;&gt;"",E371&lt;&gt;0,F371&lt;&gt;""),(F371-E371)/E371*100,"")</f>
        <v/>
      </c>
      <c r="M371">
        <f>IF(ISNUMBER(G371),ABS(G371),"")</f>
        <v/>
      </c>
    </row>
    <row r="372">
      <c r="G372">
        <f>IF(AND(E372&lt;&gt;"",E372&lt;&gt;0,F372&lt;&gt;""),(F372-E372)/E372*100,"")</f>
        <v/>
      </c>
      <c r="M372">
        <f>IF(ISNUMBER(G372),ABS(G372),"")</f>
        <v/>
      </c>
    </row>
    <row r="373">
      <c r="G373">
        <f>IF(AND(E373&lt;&gt;"",E373&lt;&gt;0,F373&lt;&gt;""),(F373-E373)/E373*100,"")</f>
        <v/>
      </c>
      <c r="M373">
        <f>IF(ISNUMBER(G373),ABS(G373),"")</f>
        <v/>
      </c>
    </row>
    <row r="374">
      <c r="G374">
        <f>IF(AND(E374&lt;&gt;"",E374&lt;&gt;0,F374&lt;&gt;""),(F374-E374)/E374*100,"")</f>
        <v/>
      </c>
      <c r="M374">
        <f>IF(ISNUMBER(G374),ABS(G374),"")</f>
        <v/>
      </c>
    </row>
    <row r="375">
      <c r="G375">
        <f>IF(AND(E375&lt;&gt;"",E375&lt;&gt;0,F375&lt;&gt;""),(F375-E375)/E375*100,"")</f>
        <v/>
      </c>
      <c r="M375">
        <f>IF(ISNUMBER(G375),ABS(G375),"")</f>
        <v/>
      </c>
    </row>
    <row r="376">
      <c r="G376">
        <f>IF(AND(E376&lt;&gt;"",E376&lt;&gt;0,F376&lt;&gt;""),(F376-E376)/E376*100,"")</f>
        <v/>
      </c>
      <c r="M376">
        <f>IF(ISNUMBER(G376),ABS(G376),"")</f>
        <v/>
      </c>
    </row>
    <row r="377">
      <c r="G377">
        <f>IF(AND(E377&lt;&gt;"",E377&lt;&gt;0,F377&lt;&gt;""),(F377-E377)/E377*100,"")</f>
        <v/>
      </c>
      <c r="M377">
        <f>IF(ISNUMBER(G377),ABS(G377),"")</f>
        <v/>
      </c>
    </row>
    <row r="378">
      <c r="G378">
        <f>IF(AND(E378&lt;&gt;"",E378&lt;&gt;0,F378&lt;&gt;""),(F378-E378)/E378*100,"")</f>
        <v/>
      </c>
      <c r="M378">
        <f>IF(ISNUMBER(G378),ABS(G378),"")</f>
        <v/>
      </c>
    </row>
    <row r="379">
      <c r="G379">
        <f>IF(AND(E379&lt;&gt;"",E379&lt;&gt;0,F379&lt;&gt;""),(F379-E379)/E379*100,"")</f>
        <v/>
      </c>
      <c r="M379">
        <f>IF(ISNUMBER(G379),ABS(G379),"")</f>
        <v/>
      </c>
    </row>
    <row r="380">
      <c r="G380">
        <f>IF(AND(E380&lt;&gt;"",E380&lt;&gt;0,F380&lt;&gt;""),(F380-E380)/E380*100,"")</f>
        <v/>
      </c>
      <c r="M380">
        <f>IF(ISNUMBER(G380),ABS(G380),"")</f>
        <v/>
      </c>
    </row>
    <row r="381">
      <c r="G381">
        <f>IF(AND(E381&lt;&gt;"",E381&lt;&gt;0,F381&lt;&gt;""),(F381-E381)/E381*100,"")</f>
        <v/>
      </c>
      <c r="M381">
        <f>IF(ISNUMBER(G381),ABS(G381),"")</f>
        <v/>
      </c>
    </row>
    <row r="382">
      <c r="G382">
        <f>IF(AND(E382&lt;&gt;"",E382&lt;&gt;0,F382&lt;&gt;""),(F382-E382)/E382*100,"")</f>
        <v/>
      </c>
      <c r="M382">
        <f>IF(ISNUMBER(G382),ABS(G382),"")</f>
        <v/>
      </c>
    </row>
    <row r="383">
      <c r="G383">
        <f>IF(AND(E383&lt;&gt;"",E383&lt;&gt;0,F383&lt;&gt;""),(F383-E383)/E383*100,"")</f>
        <v/>
      </c>
      <c r="M383">
        <f>IF(ISNUMBER(G383),ABS(G383),"")</f>
        <v/>
      </c>
    </row>
    <row r="384">
      <c r="G384">
        <f>IF(AND(E384&lt;&gt;"",E384&lt;&gt;0,F384&lt;&gt;""),(F384-E384)/E384*100,"")</f>
        <v/>
      </c>
      <c r="M384">
        <f>IF(ISNUMBER(G384),ABS(G384),"")</f>
        <v/>
      </c>
    </row>
    <row r="385">
      <c r="G385">
        <f>IF(AND(E385&lt;&gt;"",E385&lt;&gt;0,F385&lt;&gt;""),(F385-E385)/E385*100,"")</f>
        <v/>
      </c>
      <c r="M385">
        <f>IF(ISNUMBER(G385),ABS(G385),"")</f>
        <v/>
      </c>
    </row>
    <row r="386">
      <c r="G386">
        <f>IF(AND(E386&lt;&gt;"",E386&lt;&gt;0,F386&lt;&gt;""),(F386-E386)/E386*100,"")</f>
        <v/>
      </c>
      <c r="M386">
        <f>IF(ISNUMBER(G386),ABS(G386),"")</f>
        <v/>
      </c>
    </row>
    <row r="387">
      <c r="G387">
        <f>IF(AND(E387&lt;&gt;"",E387&lt;&gt;0,F387&lt;&gt;""),(F387-E387)/E387*100,"")</f>
        <v/>
      </c>
      <c r="M387">
        <f>IF(ISNUMBER(G387),ABS(G387),"")</f>
        <v/>
      </c>
    </row>
    <row r="388">
      <c r="G388">
        <f>IF(AND(E388&lt;&gt;"",E388&lt;&gt;0,F388&lt;&gt;""),(F388-E388)/E388*100,"")</f>
        <v/>
      </c>
      <c r="M388">
        <f>IF(ISNUMBER(G388),ABS(G388),"")</f>
        <v/>
      </c>
    </row>
    <row r="389">
      <c r="G389">
        <f>IF(AND(E389&lt;&gt;"",E389&lt;&gt;0,F389&lt;&gt;""),(F389-E389)/E389*100,"")</f>
        <v/>
      </c>
      <c r="M389">
        <f>IF(ISNUMBER(G389),ABS(G389),"")</f>
        <v/>
      </c>
    </row>
    <row r="390">
      <c r="G390">
        <f>IF(AND(E390&lt;&gt;"",E390&lt;&gt;0,F390&lt;&gt;""),(F390-E390)/E390*100,"")</f>
        <v/>
      </c>
      <c r="M390">
        <f>IF(ISNUMBER(G390),ABS(G390),"")</f>
        <v/>
      </c>
    </row>
    <row r="391">
      <c r="G391">
        <f>IF(AND(E391&lt;&gt;"",E391&lt;&gt;0,F391&lt;&gt;""),(F391-E391)/E391*100,"")</f>
        <v/>
      </c>
      <c r="M391">
        <f>IF(ISNUMBER(G391),ABS(G391),"")</f>
        <v/>
      </c>
    </row>
    <row r="392">
      <c r="G392">
        <f>IF(AND(E392&lt;&gt;"",E392&lt;&gt;0,F392&lt;&gt;""),(F392-E392)/E392*100,"")</f>
        <v/>
      </c>
      <c r="M392">
        <f>IF(ISNUMBER(G392),ABS(G392),"")</f>
        <v/>
      </c>
    </row>
    <row r="393">
      <c r="G393">
        <f>IF(AND(E393&lt;&gt;"",E393&lt;&gt;0,F393&lt;&gt;""),(F393-E393)/E393*100,"")</f>
        <v/>
      </c>
      <c r="M393">
        <f>IF(ISNUMBER(G393),ABS(G393),"")</f>
        <v/>
      </c>
    </row>
    <row r="394">
      <c r="G394">
        <f>IF(AND(E394&lt;&gt;"",E394&lt;&gt;0,F394&lt;&gt;""),(F394-E394)/E394*100,"")</f>
        <v/>
      </c>
      <c r="M394">
        <f>IF(ISNUMBER(G394),ABS(G394),"")</f>
        <v/>
      </c>
    </row>
    <row r="395">
      <c r="G395">
        <f>IF(AND(E395&lt;&gt;"",E395&lt;&gt;0,F395&lt;&gt;""),(F395-E395)/E395*100,"")</f>
        <v/>
      </c>
      <c r="M395">
        <f>IF(ISNUMBER(G395),ABS(G395),"")</f>
        <v/>
      </c>
    </row>
    <row r="396">
      <c r="G396">
        <f>IF(AND(E396&lt;&gt;"",E396&lt;&gt;0,F396&lt;&gt;""),(F396-E396)/E396*100,"")</f>
        <v/>
      </c>
      <c r="M396">
        <f>IF(ISNUMBER(G396),ABS(G396),"")</f>
        <v/>
      </c>
    </row>
    <row r="397">
      <c r="G397">
        <f>IF(AND(E397&lt;&gt;"",E397&lt;&gt;0,F397&lt;&gt;""),(F397-E397)/E397*100,"")</f>
        <v/>
      </c>
      <c r="M397">
        <f>IF(ISNUMBER(G397),ABS(G397),"")</f>
        <v/>
      </c>
    </row>
    <row r="398">
      <c r="G398">
        <f>IF(AND(E398&lt;&gt;"",E398&lt;&gt;0,F398&lt;&gt;""),(F398-E398)/E398*100,"")</f>
        <v/>
      </c>
      <c r="M398">
        <f>IF(ISNUMBER(G398),ABS(G398),"")</f>
        <v/>
      </c>
    </row>
    <row r="399">
      <c r="G399">
        <f>IF(AND(E399&lt;&gt;"",E399&lt;&gt;0,F399&lt;&gt;""),(F399-E399)/E399*100,"")</f>
        <v/>
      </c>
      <c r="M399">
        <f>IF(ISNUMBER(G399),ABS(G399),"")</f>
        <v/>
      </c>
    </row>
    <row r="400">
      <c r="G400">
        <f>IF(AND(E400&lt;&gt;"",E400&lt;&gt;0,F400&lt;&gt;""),(F400-E400)/E400*100,"")</f>
        <v/>
      </c>
      <c r="M400">
        <f>IF(ISNUMBER(G400),ABS(G400),"")</f>
        <v/>
      </c>
    </row>
    <row r="401">
      <c r="G401">
        <f>IF(AND(E401&lt;&gt;"",E401&lt;&gt;0,F401&lt;&gt;""),(F401-E401)/E401*100,"")</f>
        <v/>
      </c>
      <c r="M401">
        <f>IF(ISNUMBER(G401),ABS(G401),"")</f>
        <v/>
      </c>
    </row>
    <row r="402">
      <c r="G402">
        <f>IF(AND(E402&lt;&gt;"",E402&lt;&gt;0,F402&lt;&gt;""),(F402-E402)/E402*100,"")</f>
        <v/>
      </c>
      <c r="M402">
        <f>IF(ISNUMBER(G402),ABS(G402),"")</f>
        <v/>
      </c>
    </row>
    <row r="403">
      <c r="G403">
        <f>IF(AND(E403&lt;&gt;"",E403&lt;&gt;0,F403&lt;&gt;""),(F403-E403)/E403*100,"")</f>
        <v/>
      </c>
      <c r="M403">
        <f>IF(ISNUMBER(G403),ABS(G403),"")</f>
        <v/>
      </c>
    </row>
    <row r="404">
      <c r="G404">
        <f>IF(AND(E404&lt;&gt;"",E404&lt;&gt;0,F404&lt;&gt;""),(F404-E404)/E404*100,"")</f>
        <v/>
      </c>
      <c r="M404">
        <f>IF(ISNUMBER(G404),ABS(G404),"")</f>
        <v/>
      </c>
    </row>
    <row r="405">
      <c r="G405">
        <f>IF(AND(E405&lt;&gt;"",E405&lt;&gt;0,F405&lt;&gt;""),(F405-E405)/E405*100,"")</f>
        <v/>
      </c>
      <c r="M405">
        <f>IF(ISNUMBER(G405),ABS(G405),"")</f>
        <v/>
      </c>
    </row>
    <row r="406">
      <c r="G406">
        <f>IF(AND(E406&lt;&gt;"",E406&lt;&gt;0,F406&lt;&gt;""),(F406-E406)/E406*100,"")</f>
        <v/>
      </c>
      <c r="M406">
        <f>IF(ISNUMBER(G406),ABS(G406),"")</f>
        <v/>
      </c>
    </row>
    <row r="407">
      <c r="G407">
        <f>IF(AND(E407&lt;&gt;"",E407&lt;&gt;0,F407&lt;&gt;""),(F407-E407)/E407*100,"")</f>
        <v/>
      </c>
      <c r="M407">
        <f>IF(ISNUMBER(G407),ABS(G407),"")</f>
        <v/>
      </c>
    </row>
    <row r="408">
      <c r="G408">
        <f>IF(AND(E408&lt;&gt;"",E408&lt;&gt;0,F408&lt;&gt;""),(F408-E408)/E408*100,"")</f>
        <v/>
      </c>
      <c r="M408">
        <f>IF(ISNUMBER(G408),ABS(G408),"")</f>
        <v/>
      </c>
    </row>
    <row r="409">
      <c r="G409">
        <f>IF(AND(E409&lt;&gt;"",E409&lt;&gt;0,F409&lt;&gt;""),(F409-E409)/E409*100,"")</f>
        <v/>
      </c>
      <c r="M409">
        <f>IF(ISNUMBER(G409),ABS(G409),"")</f>
        <v/>
      </c>
    </row>
    <row r="410">
      <c r="G410">
        <f>IF(AND(E410&lt;&gt;"",E410&lt;&gt;0,F410&lt;&gt;""),(F410-E410)/E410*100,"")</f>
        <v/>
      </c>
      <c r="M410">
        <f>IF(ISNUMBER(G410),ABS(G410),"")</f>
        <v/>
      </c>
    </row>
    <row r="411">
      <c r="G411">
        <f>IF(AND(E411&lt;&gt;"",E411&lt;&gt;0,F411&lt;&gt;""),(F411-E411)/E411*100,"")</f>
        <v/>
      </c>
      <c r="M411">
        <f>IF(ISNUMBER(G411),ABS(G411),"")</f>
        <v/>
      </c>
    </row>
    <row r="412">
      <c r="G412">
        <f>IF(AND(E412&lt;&gt;"",E412&lt;&gt;0,F412&lt;&gt;""),(F412-E412)/E412*100,"")</f>
        <v/>
      </c>
      <c r="M412">
        <f>IF(ISNUMBER(G412),ABS(G412),"")</f>
        <v/>
      </c>
    </row>
    <row r="413">
      <c r="G413">
        <f>IF(AND(E413&lt;&gt;"",E413&lt;&gt;0,F413&lt;&gt;""),(F413-E413)/E413*100,"")</f>
        <v/>
      </c>
      <c r="M413">
        <f>IF(ISNUMBER(G413),ABS(G413),"")</f>
        <v/>
      </c>
    </row>
    <row r="414">
      <c r="G414">
        <f>IF(AND(E414&lt;&gt;"",E414&lt;&gt;0,F414&lt;&gt;""),(F414-E414)/E414*100,"")</f>
        <v/>
      </c>
      <c r="M414">
        <f>IF(ISNUMBER(G414),ABS(G414),"")</f>
        <v/>
      </c>
    </row>
    <row r="415">
      <c r="G415">
        <f>IF(AND(E415&lt;&gt;"",E415&lt;&gt;0,F415&lt;&gt;""),(F415-E415)/E415*100,"")</f>
        <v/>
      </c>
      <c r="M415">
        <f>IF(ISNUMBER(G415),ABS(G415),"")</f>
        <v/>
      </c>
    </row>
    <row r="416">
      <c r="G416">
        <f>IF(AND(E416&lt;&gt;"",E416&lt;&gt;0,F416&lt;&gt;""),(F416-E416)/E416*100,"")</f>
        <v/>
      </c>
      <c r="M416">
        <f>IF(ISNUMBER(G416),ABS(G416),"")</f>
        <v/>
      </c>
    </row>
    <row r="417">
      <c r="G417">
        <f>IF(AND(E417&lt;&gt;"",E417&lt;&gt;0,F417&lt;&gt;""),(F417-E417)/E417*100,"")</f>
        <v/>
      </c>
      <c r="M417">
        <f>IF(ISNUMBER(G417),ABS(G417),"")</f>
        <v/>
      </c>
    </row>
    <row r="418">
      <c r="G418">
        <f>IF(AND(E418&lt;&gt;"",E418&lt;&gt;0,F418&lt;&gt;""),(F418-E418)/E418*100,"")</f>
        <v/>
      </c>
      <c r="M418">
        <f>IF(ISNUMBER(G418),ABS(G418),"")</f>
        <v/>
      </c>
    </row>
    <row r="419">
      <c r="G419">
        <f>IF(AND(E419&lt;&gt;"",E419&lt;&gt;0,F419&lt;&gt;""),(F419-E419)/E419*100,"")</f>
        <v/>
      </c>
      <c r="M419">
        <f>IF(ISNUMBER(G419),ABS(G419),"")</f>
        <v/>
      </c>
    </row>
    <row r="420">
      <c r="G420">
        <f>IF(AND(E420&lt;&gt;"",E420&lt;&gt;0,F420&lt;&gt;""),(F420-E420)/E420*100,"")</f>
        <v/>
      </c>
      <c r="M420">
        <f>IF(ISNUMBER(G420),ABS(G420),"")</f>
        <v/>
      </c>
    </row>
    <row r="421">
      <c r="G421">
        <f>IF(AND(E421&lt;&gt;"",E421&lt;&gt;0,F421&lt;&gt;""),(F421-E421)/E421*100,"")</f>
        <v/>
      </c>
      <c r="M421">
        <f>IF(ISNUMBER(G421),ABS(G421),"")</f>
        <v/>
      </c>
    </row>
    <row r="422">
      <c r="G422">
        <f>IF(AND(E422&lt;&gt;"",E422&lt;&gt;0,F422&lt;&gt;""),(F422-E422)/E422*100,"")</f>
        <v/>
      </c>
      <c r="M422">
        <f>IF(ISNUMBER(G422),ABS(G422),"")</f>
        <v/>
      </c>
    </row>
    <row r="423">
      <c r="G423">
        <f>IF(AND(E423&lt;&gt;"",E423&lt;&gt;0,F423&lt;&gt;""),(F423-E423)/E423*100,"")</f>
        <v/>
      </c>
      <c r="M423">
        <f>IF(ISNUMBER(G423),ABS(G423),"")</f>
        <v/>
      </c>
    </row>
    <row r="424">
      <c r="G424">
        <f>IF(AND(E424&lt;&gt;"",E424&lt;&gt;0,F424&lt;&gt;""),(F424-E424)/E424*100,"")</f>
        <v/>
      </c>
      <c r="M424">
        <f>IF(ISNUMBER(G424),ABS(G424),"")</f>
        <v/>
      </c>
    </row>
    <row r="425">
      <c r="G425">
        <f>IF(AND(E425&lt;&gt;"",E425&lt;&gt;0,F425&lt;&gt;""),(F425-E425)/E425*100,"")</f>
        <v/>
      </c>
      <c r="M425">
        <f>IF(ISNUMBER(G425),ABS(G425),"")</f>
        <v/>
      </c>
    </row>
    <row r="426">
      <c r="G426">
        <f>IF(AND(E426&lt;&gt;"",E426&lt;&gt;0,F426&lt;&gt;""),(F426-E426)/E426*100,"")</f>
        <v/>
      </c>
      <c r="M426">
        <f>IF(ISNUMBER(G426),ABS(G426),"")</f>
        <v/>
      </c>
    </row>
    <row r="427">
      <c r="G427">
        <f>IF(AND(E427&lt;&gt;"",E427&lt;&gt;0,F427&lt;&gt;""),(F427-E427)/E427*100,"")</f>
        <v/>
      </c>
      <c r="M427">
        <f>IF(ISNUMBER(G427),ABS(G427),"")</f>
        <v/>
      </c>
    </row>
    <row r="428">
      <c r="G428">
        <f>IF(AND(E428&lt;&gt;"",E428&lt;&gt;0,F428&lt;&gt;""),(F428-E428)/E428*100,"")</f>
        <v/>
      </c>
      <c r="M428">
        <f>IF(ISNUMBER(G428),ABS(G428),"")</f>
        <v/>
      </c>
    </row>
    <row r="429">
      <c r="G429">
        <f>IF(AND(E429&lt;&gt;"",E429&lt;&gt;0,F429&lt;&gt;""),(F429-E429)/E429*100,"")</f>
        <v/>
      </c>
      <c r="M429">
        <f>IF(ISNUMBER(G429),ABS(G429),"")</f>
        <v/>
      </c>
    </row>
    <row r="430">
      <c r="G430">
        <f>IF(AND(E430&lt;&gt;"",E430&lt;&gt;0,F430&lt;&gt;""),(F430-E430)/E430*100,"")</f>
        <v/>
      </c>
      <c r="M430">
        <f>IF(ISNUMBER(G430),ABS(G430),"")</f>
        <v/>
      </c>
    </row>
    <row r="431">
      <c r="G431">
        <f>IF(AND(E431&lt;&gt;"",E431&lt;&gt;0,F431&lt;&gt;""),(F431-E431)/E431*100,"")</f>
        <v/>
      </c>
      <c r="M431">
        <f>IF(ISNUMBER(G431),ABS(G431),"")</f>
        <v/>
      </c>
    </row>
    <row r="432">
      <c r="G432">
        <f>IF(AND(E432&lt;&gt;"",E432&lt;&gt;0,F432&lt;&gt;""),(F432-E432)/E432*100,"")</f>
        <v/>
      </c>
      <c r="M432">
        <f>IF(ISNUMBER(G432),ABS(G432),"")</f>
        <v/>
      </c>
    </row>
    <row r="433">
      <c r="G433">
        <f>IF(AND(E433&lt;&gt;"",E433&lt;&gt;0,F433&lt;&gt;""),(F433-E433)/E433*100,"")</f>
        <v/>
      </c>
      <c r="M433">
        <f>IF(ISNUMBER(G433),ABS(G433),"")</f>
        <v/>
      </c>
    </row>
    <row r="434">
      <c r="G434">
        <f>IF(AND(E434&lt;&gt;"",E434&lt;&gt;0,F434&lt;&gt;""),(F434-E434)/E434*100,"")</f>
        <v/>
      </c>
      <c r="M434">
        <f>IF(ISNUMBER(G434),ABS(G434),"")</f>
        <v/>
      </c>
    </row>
    <row r="435">
      <c r="G435">
        <f>IF(AND(E435&lt;&gt;"",E435&lt;&gt;0,F435&lt;&gt;""),(F435-E435)/E435*100,"")</f>
        <v/>
      </c>
      <c r="M435">
        <f>IF(ISNUMBER(G435),ABS(G435),"")</f>
        <v/>
      </c>
    </row>
    <row r="436">
      <c r="G436">
        <f>IF(AND(E436&lt;&gt;"",E436&lt;&gt;0,F436&lt;&gt;""),(F436-E436)/E436*100,"")</f>
        <v/>
      </c>
      <c r="M436">
        <f>IF(ISNUMBER(G436),ABS(G436),"")</f>
        <v/>
      </c>
    </row>
    <row r="437">
      <c r="G437">
        <f>IF(AND(E437&lt;&gt;"",E437&lt;&gt;0,F437&lt;&gt;""),(F437-E437)/E437*100,"")</f>
        <v/>
      </c>
      <c r="M437">
        <f>IF(ISNUMBER(G437),ABS(G437),"")</f>
        <v/>
      </c>
    </row>
    <row r="438">
      <c r="G438">
        <f>IF(AND(E438&lt;&gt;"",E438&lt;&gt;0,F438&lt;&gt;""),(F438-E438)/E438*100,"")</f>
        <v/>
      </c>
      <c r="M438">
        <f>IF(ISNUMBER(G438),ABS(G438),"")</f>
        <v/>
      </c>
    </row>
    <row r="439">
      <c r="G439">
        <f>IF(AND(E439&lt;&gt;"",E439&lt;&gt;0,F439&lt;&gt;""),(F439-E439)/E439*100,"")</f>
        <v/>
      </c>
      <c r="M439">
        <f>IF(ISNUMBER(G439),ABS(G439),"")</f>
        <v/>
      </c>
    </row>
    <row r="440">
      <c r="G440">
        <f>IF(AND(E440&lt;&gt;"",E440&lt;&gt;0,F440&lt;&gt;""),(F440-E440)/E440*100,"")</f>
        <v/>
      </c>
      <c r="M440">
        <f>IF(ISNUMBER(G440),ABS(G440),"")</f>
        <v/>
      </c>
    </row>
    <row r="441">
      <c r="G441">
        <f>IF(AND(E441&lt;&gt;"",E441&lt;&gt;0,F441&lt;&gt;""),(F441-E441)/E441*100,"")</f>
        <v/>
      </c>
      <c r="M441">
        <f>IF(ISNUMBER(G441),ABS(G441),"")</f>
        <v/>
      </c>
    </row>
    <row r="442">
      <c r="G442">
        <f>IF(AND(E442&lt;&gt;"",E442&lt;&gt;0,F442&lt;&gt;""),(F442-E442)/E442*100,"")</f>
        <v/>
      </c>
      <c r="M442">
        <f>IF(ISNUMBER(G442),ABS(G442),"")</f>
        <v/>
      </c>
    </row>
    <row r="443">
      <c r="G443">
        <f>IF(AND(E443&lt;&gt;"",E443&lt;&gt;0,F443&lt;&gt;""),(F443-E443)/E443*100,"")</f>
        <v/>
      </c>
      <c r="M443">
        <f>IF(ISNUMBER(G443),ABS(G443),"")</f>
        <v/>
      </c>
    </row>
    <row r="444">
      <c r="G444">
        <f>IF(AND(E444&lt;&gt;"",E444&lt;&gt;0,F444&lt;&gt;""),(F444-E444)/E444*100,"")</f>
        <v/>
      </c>
      <c r="M444">
        <f>IF(ISNUMBER(G444),ABS(G444),"")</f>
        <v/>
      </c>
    </row>
    <row r="445">
      <c r="G445">
        <f>IF(AND(E445&lt;&gt;"",E445&lt;&gt;0,F445&lt;&gt;""),(F445-E445)/E445*100,"")</f>
        <v/>
      </c>
      <c r="M445">
        <f>IF(ISNUMBER(G445),ABS(G445),"")</f>
        <v/>
      </c>
    </row>
    <row r="446">
      <c r="G446">
        <f>IF(AND(E446&lt;&gt;"",E446&lt;&gt;0,F446&lt;&gt;""),(F446-E446)/E446*100,"")</f>
        <v/>
      </c>
      <c r="M446">
        <f>IF(ISNUMBER(G446),ABS(G446),"")</f>
        <v/>
      </c>
    </row>
    <row r="447">
      <c r="G447">
        <f>IF(AND(E447&lt;&gt;"",E447&lt;&gt;0,F447&lt;&gt;""),(F447-E447)/E447*100,"")</f>
        <v/>
      </c>
      <c r="M447">
        <f>IF(ISNUMBER(G447),ABS(G447),"")</f>
        <v/>
      </c>
    </row>
    <row r="448">
      <c r="G448">
        <f>IF(AND(E448&lt;&gt;"",E448&lt;&gt;0,F448&lt;&gt;""),(F448-E448)/E448*100,"")</f>
        <v/>
      </c>
      <c r="M448">
        <f>IF(ISNUMBER(G448),ABS(G448),"")</f>
        <v/>
      </c>
    </row>
    <row r="449">
      <c r="G449">
        <f>IF(AND(E449&lt;&gt;"",E449&lt;&gt;0,F449&lt;&gt;""),(F449-E449)/E449*100,"")</f>
        <v/>
      </c>
      <c r="M449">
        <f>IF(ISNUMBER(G449),ABS(G449),"")</f>
        <v/>
      </c>
    </row>
    <row r="450">
      <c r="G450">
        <f>IF(AND(E450&lt;&gt;"",E450&lt;&gt;0,F450&lt;&gt;""),(F450-E450)/E450*100,"")</f>
        <v/>
      </c>
      <c r="M450">
        <f>IF(ISNUMBER(G450),ABS(G450),"")</f>
        <v/>
      </c>
    </row>
    <row r="451">
      <c r="G451">
        <f>IF(AND(E451&lt;&gt;"",E451&lt;&gt;0,F451&lt;&gt;""),(F451-E451)/E451*100,"")</f>
        <v/>
      </c>
      <c r="M451">
        <f>IF(ISNUMBER(G451),ABS(G451),"")</f>
        <v/>
      </c>
    </row>
    <row r="452">
      <c r="G452">
        <f>IF(AND(E452&lt;&gt;"",E452&lt;&gt;0,F452&lt;&gt;""),(F452-E452)/E452*100,"")</f>
        <v/>
      </c>
      <c r="M452">
        <f>IF(ISNUMBER(G452),ABS(G452),"")</f>
        <v/>
      </c>
    </row>
    <row r="453">
      <c r="G453">
        <f>IF(AND(E453&lt;&gt;"",E453&lt;&gt;0,F453&lt;&gt;""),(F453-E453)/E453*100,"")</f>
        <v/>
      </c>
      <c r="M453">
        <f>IF(ISNUMBER(G453),ABS(G453),"")</f>
        <v/>
      </c>
    </row>
    <row r="454">
      <c r="G454">
        <f>IF(AND(E454&lt;&gt;"",E454&lt;&gt;0,F454&lt;&gt;""),(F454-E454)/E454*100,"")</f>
        <v/>
      </c>
      <c r="M454">
        <f>IF(ISNUMBER(G454),ABS(G454),"")</f>
        <v/>
      </c>
    </row>
    <row r="455">
      <c r="G455">
        <f>IF(AND(E455&lt;&gt;"",E455&lt;&gt;0,F455&lt;&gt;""),(F455-E455)/E455*100,"")</f>
        <v/>
      </c>
      <c r="M455">
        <f>IF(ISNUMBER(G455),ABS(G455),"")</f>
        <v/>
      </c>
    </row>
    <row r="456">
      <c r="G456">
        <f>IF(AND(E456&lt;&gt;"",E456&lt;&gt;0,F456&lt;&gt;""),(F456-E456)/E456*100,"")</f>
        <v/>
      </c>
      <c r="M456">
        <f>IF(ISNUMBER(G456),ABS(G456),"")</f>
        <v/>
      </c>
    </row>
    <row r="457">
      <c r="G457">
        <f>IF(AND(E457&lt;&gt;"",E457&lt;&gt;0,F457&lt;&gt;""),(F457-E457)/E457*100,"")</f>
        <v/>
      </c>
      <c r="M457">
        <f>IF(ISNUMBER(G457),ABS(G457),"")</f>
        <v/>
      </c>
    </row>
    <row r="458">
      <c r="G458">
        <f>IF(AND(E458&lt;&gt;"",E458&lt;&gt;0,F458&lt;&gt;""),(F458-E458)/E458*100,"")</f>
        <v/>
      </c>
      <c r="M458">
        <f>IF(ISNUMBER(G458),ABS(G458),"")</f>
        <v/>
      </c>
    </row>
    <row r="459">
      <c r="G459">
        <f>IF(AND(E459&lt;&gt;"",E459&lt;&gt;0,F459&lt;&gt;""),(F459-E459)/E459*100,"")</f>
        <v/>
      </c>
      <c r="M459">
        <f>IF(ISNUMBER(G459),ABS(G459),"")</f>
        <v/>
      </c>
    </row>
    <row r="460">
      <c r="G460">
        <f>IF(AND(E460&lt;&gt;"",E460&lt;&gt;0,F460&lt;&gt;""),(F460-E460)/E460*100,"")</f>
        <v/>
      </c>
      <c r="M460">
        <f>IF(ISNUMBER(G460),ABS(G460),"")</f>
        <v/>
      </c>
    </row>
    <row r="461">
      <c r="G461">
        <f>IF(AND(E461&lt;&gt;"",E461&lt;&gt;0,F461&lt;&gt;""),(F461-E461)/E461*100,"")</f>
        <v/>
      </c>
      <c r="M461">
        <f>IF(ISNUMBER(G461),ABS(G461),"")</f>
        <v/>
      </c>
    </row>
    <row r="462">
      <c r="G462">
        <f>IF(AND(E462&lt;&gt;"",E462&lt;&gt;0,F462&lt;&gt;""),(F462-E462)/E462*100,"")</f>
        <v/>
      </c>
      <c r="M462">
        <f>IF(ISNUMBER(G462),ABS(G462),"")</f>
        <v/>
      </c>
    </row>
    <row r="463">
      <c r="G463">
        <f>IF(AND(E463&lt;&gt;"",E463&lt;&gt;0,F463&lt;&gt;""),(F463-E463)/E463*100,"")</f>
        <v/>
      </c>
      <c r="M463">
        <f>IF(ISNUMBER(G463),ABS(G463),"")</f>
        <v/>
      </c>
    </row>
    <row r="464">
      <c r="G464">
        <f>IF(AND(E464&lt;&gt;"",E464&lt;&gt;0,F464&lt;&gt;""),(F464-E464)/E464*100,"")</f>
        <v/>
      </c>
      <c r="M464">
        <f>IF(ISNUMBER(G464),ABS(G464),"")</f>
        <v/>
      </c>
    </row>
    <row r="465">
      <c r="G465">
        <f>IF(AND(E465&lt;&gt;"",E465&lt;&gt;0,F465&lt;&gt;""),(F465-E465)/E465*100,"")</f>
        <v/>
      </c>
      <c r="M465">
        <f>IF(ISNUMBER(G465),ABS(G465),"")</f>
        <v/>
      </c>
    </row>
    <row r="466">
      <c r="G466">
        <f>IF(AND(E466&lt;&gt;"",E466&lt;&gt;0,F466&lt;&gt;""),(F466-E466)/E466*100,"")</f>
        <v/>
      </c>
      <c r="M466">
        <f>IF(ISNUMBER(G466),ABS(G466),"")</f>
        <v/>
      </c>
    </row>
    <row r="467">
      <c r="G467">
        <f>IF(AND(E467&lt;&gt;"",E467&lt;&gt;0,F467&lt;&gt;""),(F467-E467)/E467*100,"")</f>
        <v/>
      </c>
      <c r="M467">
        <f>IF(ISNUMBER(G467),ABS(G467),"")</f>
        <v/>
      </c>
    </row>
    <row r="468">
      <c r="G468">
        <f>IF(AND(E468&lt;&gt;"",E468&lt;&gt;0,F468&lt;&gt;""),(F468-E468)/E468*100,"")</f>
        <v/>
      </c>
      <c r="M468">
        <f>IF(ISNUMBER(G468),ABS(G468),"")</f>
        <v/>
      </c>
    </row>
    <row r="469">
      <c r="G469">
        <f>IF(AND(E469&lt;&gt;"",E469&lt;&gt;0,F469&lt;&gt;""),(F469-E469)/E469*100,"")</f>
        <v/>
      </c>
      <c r="M469">
        <f>IF(ISNUMBER(G469),ABS(G469),"")</f>
        <v/>
      </c>
    </row>
    <row r="470">
      <c r="G470">
        <f>IF(AND(E470&lt;&gt;"",E470&lt;&gt;0,F470&lt;&gt;""),(F470-E470)/E470*100,"")</f>
        <v/>
      </c>
      <c r="M470">
        <f>IF(ISNUMBER(G470),ABS(G470),"")</f>
        <v/>
      </c>
    </row>
    <row r="471">
      <c r="G471">
        <f>IF(AND(E471&lt;&gt;"",E471&lt;&gt;0,F471&lt;&gt;""),(F471-E471)/E471*100,"")</f>
        <v/>
      </c>
      <c r="M471">
        <f>IF(ISNUMBER(G471),ABS(G471),"")</f>
        <v/>
      </c>
    </row>
    <row r="472">
      <c r="G472">
        <f>IF(AND(E472&lt;&gt;"",E472&lt;&gt;0,F472&lt;&gt;""),(F472-E472)/E472*100,"")</f>
        <v/>
      </c>
      <c r="M472">
        <f>IF(ISNUMBER(G472),ABS(G472),"")</f>
        <v/>
      </c>
    </row>
    <row r="473">
      <c r="G473">
        <f>IF(AND(E473&lt;&gt;"",E473&lt;&gt;0,F473&lt;&gt;""),(F473-E473)/E473*100,"")</f>
        <v/>
      </c>
      <c r="M473">
        <f>IF(ISNUMBER(G473),ABS(G473),"")</f>
        <v/>
      </c>
    </row>
    <row r="474">
      <c r="G474">
        <f>IF(AND(E474&lt;&gt;"",E474&lt;&gt;0,F474&lt;&gt;""),(F474-E474)/E474*100,"")</f>
        <v/>
      </c>
      <c r="M474">
        <f>IF(ISNUMBER(G474),ABS(G474),"")</f>
        <v/>
      </c>
    </row>
    <row r="475">
      <c r="G475">
        <f>IF(AND(E475&lt;&gt;"",E475&lt;&gt;0,F475&lt;&gt;""),(F475-E475)/E475*100,"")</f>
        <v/>
      </c>
      <c r="M475">
        <f>IF(ISNUMBER(G475),ABS(G475),"")</f>
        <v/>
      </c>
    </row>
    <row r="476">
      <c r="G476">
        <f>IF(AND(E476&lt;&gt;"",E476&lt;&gt;0,F476&lt;&gt;""),(F476-E476)/E476*100,"")</f>
        <v/>
      </c>
      <c r="M476">
        <f>IF(ISNUMBER(G476),ABS(G476),"")</f>
        <v/>
      </c>
    </row>
    <row r="477">
      <c r="G477">
        <f>IF(AND(E477&lt;&gt;"",E477&lt;&gt;0,F477&lt;&gt;""),(F477-E477)/E477*100,"")</f>
        <v/>
      </c>
      <c r="M477">
        <f>IF(ISNUMBER(G477),ABS(G477),"")</f>
        <v/>
      </c>
    </row>
    <row r="478">
      <c r="G478">
        <f>IF(AND(E478&lt;&gt;"",E478&lt;&gt;0,F478&lt;&gt;""),(F478-E478)/E478*100,"")</f>
        <v/>
      </c>
      <c r="M478">
        <f>IF(ISNUMBER(G478),ABS(G478),"")</f>
        <v/>
      </c>
    </row>
    <row r="479">
      <c r="G479">
        <f>IF(AND(E479&lt;&gt;"",E479&lt;&gt;0,F479&lt;&gt;""),(F479-E479)/E479*100,"")</f>
        <v/>
      </c>
      <c r="M479">
        <f>IF(ISNUMBER(G479),ABS(G479),"")</f>
        <v/>
      </c>
    </row>
    <row r="480">
      <c r="G480">
        <f>IF(AND(E480&lt;&gt;"",E480&lt;&gt;0,F480&lt;&gt;""),(F480-E480)/E480*100,"")</f>
        <v/>
      </c>
      <c r="M480">
        <f>IF(ISNUMBER(G480),ABS(G480),"")</f>
        <v/>
      </c>
    </row>
    <row r="481">
      <c r="G481">
        <f>IF(AND(E481&lt;&gt;"",E481&lt;&gt;0,F481&lt;&gt;""),(F481-E481)/E481*100,"")</f>
        <v/>
      </c>
      <c r="M481">
        <f>IF(ISNUMBER(G481),ABS(G481),"")</f>
        <v/>
      </c>
    </row>
    <row r="482">
      <c r="G482">
        <f>IF(AND(E482&lt;&gt;"",E482&lt;&gt;0,F482&lt;&gt;""),(F482-E482)/E482*100,"")</f>
        <v/>
      </c>
      <c r="M482">
        <f>IF(ISNUMBER(G482),ABS(G482),"")</f>
        <v/>
      </c>
    </row>
    <row r="483">
      <c r="G483">
        <f>IF(AND(E483&lt;&gt;"",E483&lt;&gt;0,F483&lt;&gt;""),(F483-E483)/E483*100,"")</f>
        <v/>
      </c>
      <c r="M483">
        <f>IF(ISNUMBER(G483),ABS(G483),"")</f>
        <v/>
      </c>
    </row>
    <row r="484">
      <c r="G484">
        <f>IF(AND(E484&lt;&gt;"",E484&lt;&gt;0,F484&lt;&gt;""),(F484-E484)/E484*100,"")</f>
        <v/>
      </c>
      <c r="M484">
        <f>IF(ISNUMBER(G484),ABS(G484),"")</f>
        <v/>
      </c>
    </row>
    <row r="485">
      <c r="G485">
        <f>IF(AND(E485&lt;&gt;"",E485&lt;&gt;0,F485&lt;&gt;""),(F485-E485)/E485*100,"")</f>
        <v/>
      </c>
      <c r="M485">
        <f>IF(ISNUMBER(G485),ABS(G485),"")</f>
        <v/>
      </c>
    </row>
    <row r="486">
      <c r="G486">
        <f>IF(AND(E486&lt;&gt;"",E486&lt;&gt;0,F486&lt;&gt;""),(F486-E486)/E486*100,"")</f>
        <v/>
      </c>
      <c r="M486">
        <f>IF(ISNUMBER(G486),ABS(G486),"")</f>
        <v/>
      </c>
    </row>
    <row r="487">
      <c r="G487">
        <f>IF(AND(E487&lt;&gt;"",E487&lt;&gt;0,F487&lt;&gt;""),(F487-E487)/E487*100,"")</f>
        <v/>
      </c>
      <c r="M487">
        <f>IF(ISNUMBER(G487),ABS(G487),"")</f>
        <v/>
      </c>
    </row>
    <row r="488">
      <c r="G488">
        <f>IF(AND(E488&lt;&gt;"",E488&lt;&gt;0,F488&lt;&gt;""),(F488-E488)/E488*100,"")</f>
        <v/>
      </c>
      <c r="M488">
        <f>IF(ISNUMBER(G488),ABS(G488),"")</f>
        <v/>
      </c>
    </row>
    <row r="489">
      <c r="G489">
        <f>IF(AND(E489&lt;&gt;"",E489&lt;&gt;0,F489&lt;&gt;""),(F489-E489)/E489*100,"")</f>
        <v/>
      </c>
      <c r="M489">
        <f>IF(ISNUMBER(G489),ABS(G489),"")</f>
        <v/>
      </c>
    </row>
    <row r="490">
      <c r="G490">
        <f>IF(AND(E490&lt;&gt;"",E490&lt;&gt;0,F490&lt;&gt;""),(F490-E490)/E490*100,"")</f>
        <v/>
      </c>
      <c r="M490">
        <f>IF(ISNUMBER(G490),ABS(G490),"")</f>
        <v/>
      </c>
    </row>
    <row r="491">
      <c r="G491">
        <f>IF(AND(E491&lt;&gt;"",E491&lt;&gt;0,F491&lt;&gt;""),(F491-E491)/E491*100,"")</f>
        <v/>
      </c>
      <c r="M491">
        <f>IF(ISNUMBER(G491),ABS(G491),"")</f>
        <v/>
      </c>
    </row>
    <row r="492">
      <c r="G492">
        <f>IF(AND(E492&lt;&gt;"",E492&lt;&gt;0,F492&lt;&gt;""),(F492-E492)/E492*100,"")</f>
        <v/>
      </c>
      <c r="M492">
        <f>IF(ISNUMBER(G492),ABS(G492),"")</f>
        <v/>
      </c>
    </row>
    <row r="493">
      <c r="G493">
        <f>IF(AND(E493&lt;&gt;"",E493&lt;&gt;0,F493&lt;&gt;""),(F493-E493)/E493*100,"")</f>
        <v/>
      </c>
      <c r="M493">
        <f>IF(ISNUMBER(G493),ABS(G493),"")</f>
        <v/>
      </c>
    </row>
    <row r="494">
      <c r="G494">
        <f>IF(AND(E494&lt;&gt;"",E494&lt;&gt;0,F494&lt;&gt;""),(F494-E494)/E494*100,"")</f>
        <v/>
      </c>
      <c r="M494">
        <f>IF(ISNUMBER(G494),ABS(G494),"")</f>
        <v/>
      </c>
    </row>
    <row r="495">
      <c r="G495">
        <f>IF(AND(E495&lt;&gt;"",E495&lt;&gt;0,F495&lt;&gt;""),(F495-E495)/E495*100,"")</f>
        <v/>
      </c>
      <c r="M495">
        <f>IF(ISNUMBER(G495),ABS(G495),"")</f>
        <v/>
      </c>
    </row>
    <row r="496">
      <c r="G496">
        <f>IF(AND(E496&lt;&gt;"",E496&lt;&gt;0,F496&lt;&gt;""),(F496-E496)/E496*100,"")</f>
        <v/>
      </c>
      <c r="M496">
        <f>IF(ISNUMBER(G496),ABS(G496),"")</f>
        <v/>
      </c>
    </row>
    <row r="497">
      <c r="G497">
        <f>IF(AND(E497&lt;&gt;"",E497&lt;&gt;0,F497&lt;&gt;""),(F497-E497)/E497*100,"")</f>
        <v/>
      </c>
      <c r="M497">
        <f>IF(ISNUMBER(G497),ABS(G497),"")</f>
        <v/>
      </c>
    </row>
    <row r="498">
      <c r="G498">
        <f>IF(AND(E498&lt;&gt;"",E498&lt;&gt;0,F498&lt;&gt;""),(F498-E498)/E498*100,"")</f>
        <v/>
      </c>
      <c r="M498">
        <f>IF(ISNUMBER(G498),ABS(G498),"")</f>
        <v/>
      </c>
    </row>
    <row r="499">
      <c r="G499">
        <f>IF(AND(E499&lt;&gt;"",E499&lt;&gt;0,F499&lt;&gt;""),(F499-E499)/E499*100,"")</f>
        <v/>
      </c>
      <c r="M499">
        <f>IF(ISNUMBER(G499),ABS(G499),"")</f>
        <v/>
      </c>
    </row>
    <row r="500">
      <c r="G500">
        <f>IF(AND(E500&lt;&gt;"",E500&lt;&gt;0,F500&lt;&gt;""),(F500-E500)/E500*100,"")</f>
        <v/>
      </c>
      <c r="M500">
        <f>IF(ISNUMBER(G500),ABS(G500),"")</f>
        <v/>
      </c>
    </row>
  </sheetData>
  <autoFilter ref="A1:M1"/>
  <conditionalFormatting sqref="G2:G500">
    <cfRule type="expression" priority="1" dxfId="0">
      <formula>AND(ISNUMBER($G2),$G2&gt;20)</formula>
    </cfRule>
    <cfRule type="expression" priority="2" dxfId="1">
      <formula>AND(ISNUMBER($G2),$G2&lt;-20)</formula>
    </cfRule>
    <cfRule type="expression" priority="3" dxfId="2">
      <formula>AND(ISNUMBER($G2),$G2&gt;=-10,$G2&lt;=10)</formula>
    </cfRule>
  </conditionalFormatting>
  <dataValidations count="3">
    <dataValidation sqref="D2:D500" showDropDown="0" showInputMessage="0" showErrorMessage="0" allowBlank="1" type="list">
      <formula1>=Listas!$A$2:$A$9</formula1>
    </dataValidation>
    <dataValidation sqref="J2:J500" showDropDown="0" showInputMessage="0" showErrorMessage="0" allowBlank="1" type="list">
      <formula1>=Listas!$B$2:$B$5</formula1>
    </dataValidation>
    <dataValidation sqref="K2:K500" showDropDown="0" showInputMessage="0" showErrorMessage="0" allowBlank="1" type="list">
      <formula1>=Listas!$C$2:$C$5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4" customWidth="1" min="5" max="5"/>
    <col width="22" customWidth="1" min="6" max="6"/>
    <col width="18" customWidth="1" min="7" max="7"/>
    <col width="13" customWidth="1" min="8" max="8"/>
    <col width="13" customWidth="1" min="9" max="9"/>
  </cols>
  <sheetData>
    <row r="1" ht="30" customHeight="1">
      <c r="A1" s="1" t="inlineStr">
        <is>
          <t>ID</t>
        </is>
      </c>
      <c r="B1" s="1" t="inlineStr">
        <is>
          <t>Projeto</t>
        </is>
      </c>
      <c r="C1" s="1" t="inlineStr">
        <is>
          <t>Atividade</t>
        </is>
      </c>
      <c r="D1" s="1" t="inlineStr">
        <is>
          <t>Técnica</t>
        </is>
      </c>
      <c r="E1" s="1" t="inlineStr">
        <is>
          <t>Complexidade</t>
        </is>
      </c>
      <c r="F1" s="1" t="inlineStr">
        <is>
          <t>Esforço Estimado (h)</t>
        </is>
      </c>
      <c r="G1" s="1" t="inlineStr">
        <is>
          <t>Esforço Real (h)</t>
        </is>
      </c>
      <c r="H1" s="1" t="inlineStr">
        <is>
          <t>Desvio (%)</t>
        </is>
      </c>
      <c r="I1" s="1" t="inlineStr">
        <is>
          <t>Data</t>
        </is>
      </c>
    </row>
    <row r="2">
      <c r="H2">
        <f>IF(AND(F2&lt;&gt;"",F2&lt;&gt;0,G2&lt;&gt;""),(G2-F2)/F2*100,"")</f>
        <v/>
      </c>
    </row>
    <row r="3">
      <c r="H3">
        <f>IF(AND(F3&lt;&gt;"",F3&lt;&gt;0,G3&lt;&gt;""),(G3-F3)/F3*100,"")</f>
        <v/>
      </c>
    </row>
    <row r="4">
      <c r="H4">
        <f>IF(AND(F4&lt;&gt;"",F4&lt;&gt;0,G4&lt;&gt;""),(G4-F4)/F4*100,"")</f>
        <v/>
      </c>
    </row>
    <row r="5">
      <c r="H5">
        <f>IF(AND(F5&lt;&gt;"",F5&lt;&gt;0,G5&lt;&gt;""),(G5-F5)/F5*100,"")</f>
        <v/>
      </c>
    </row>
    <row r="6">
      <c r="H6">
        <f>IF(AND(F6&lt;&gt;"",F6&lt;&gt;0,G6&lt;&gt;""),(G6-F6)/F6*100,"")</f>
        <v/>
      </c>
    </row>
    <row r="7">
      <c r="H7">
        <f>IF(AND(F7&lt;&gt;"",F7&lt;&gt;0,G7&lt;&gt;""),(G7-F7)/F7*100,"")</f>
        <v/>
      </c>
    </row>
    <row r="8">
      <c r="H8">
        <f>IF(AND(F8&lt;&gt;"",F8&lt;&gt;0,G8&lt;&gt;""),(G8-F8)/F8*100,"")</f>
        <v/>
      </c>
    </row>
    <row r="9">
      <c r="H9">
        <f>IF(AND(F9&lt;&gt;"",F9&lt;&gt;0,G9&lt;&gt;""),(G9-F9)/F9*100,"")</f>
        <v/>
      </c>
    </row>
    <row r="10">
      <c r="H10">
        <f>IF(AND(F10&lt;&gt;"",F10&lt;&gt;0,G10&lt;&gt;""),(G10-F10)/F10*100,"")</f>
        <v/>
      </c>
    </row>
    <row r="11">
      <c r="H11">
        <f>IF(AND(F11&lt;&gt;"",F11&lt;&gt;0,G11&lt;&gt;""),(G11-F11)/F11*100,"")</f>
        <v/>
      </c>
    </row>
    <row r="12">
      <c r="H12">
        <f>IF(AND(F12&lt;&gt;"",F12&lt;&gt;0,G12&lt;&gt;""),(G12-F12)/F12*100,"")</f>
        <v/>
      </c>
    </row>
    <row r="13">
      <c r="H13">
        <f>IF(AND(F13&lt;&gt;"",F13&lt;&gt;0,G13&lt;&gt;""),(G13-F13)/F13*100,"")</f>
        <v/>
      </c>
    </row>
    <row r="14">
      <c r="H14">
        <f>IF(AND(F14&lt;&gt;"",F14&lt;&gt;0,G14&lt;&gt;""),(G14-F14)/F14*100,"")</f>
        <v/>
      </c>
    </row>
    <row r="15">
      <c r="H15">
        <f>IF(AND(F15&lt;&gt;"",F15&lt;&gt;0,G15&lt;&gt;""),(G15-F15)/F15*100,"")</f>
        <v/>
      </c>
    </row>
    <row r="16">
      <c r="H16">
        <f>IF(AND(F16&lt;&gt;"",F16&lt;&gt;0,G16&lt;&gt;""),(G16-F16)/F16*100,"")</f>
        <v/>
      </c>
    </row>
    <row r="17">
      <c r="H17">
        <f>IF(AND(F17&lt;&gt;"",F17&lt;&gt;0,G17&lt;&gt;""),(G17-F17)/F17*100,"")</f>
        <v/>
      </c>
    </row>
    <row r="18">
      <c r="H18">
        <f>IF(AND(F18&lt;&gt;"",F18&lt;&gt;0,G18&lt;&gt;""),(G18-F18)/F18*100,"")</f>
        <v/>
      </c>
    </row>
    <row r="19">
      <c r="H19">
        <f>IF(AND(F19&lt;&gt;"",F19&lt;&gt;0,G19&lt;&gt;""),(G19-F19)/F19*100,"")</f>
        <v/>
      </c>
    </row>
    <row r="20">
      <c r="H20">
        <f>IF(AND(F20&lt;&gt;"",F20&lt;&gt;0,G20&lt;&gt;""),(G20-F20)/F20*100,"")</f>
        <v/>
      </c>
    </row>
    <row r="21">
      <c r="H21">
        <f>IF(AND(F21&lt;&gt;"",F21&lt;&gt;0,G21&lt;&gt;""),(G21-F21)/F21*100,"")</f>
        <v/>
      </c>
    </row>
    <row r="22">
      <c r="H22">
        <f>IF(AND(F22&lt;&gt;"",F22&lt;&gt;0,G22&lt;&gt;""),(G22-F22)/F22*100,"")</f>
        <v/>
      </c>
    </row>
    <row r="23">
      <c r="H23">
        <f>IF(AND(F23&lt;&gt;"",F23&lt;&gt;0,G23&lt;&gt;""),(G23-F23)/F23*100,"")</f>
        <v/>
      </c>
    </row>
    <row r="24">
      <c r="H24">
        <f>IF(AND(F24&lt;&gt;"",F24&lt;&gt;0,G24&lt;&gt;""),(G24-F24)/F24*100,"")</f>
        <v/>
      </c>
    </row>
    <row r="25">
      <c r="H25">
        <f>IF(AND(F25&lt;&gt;"",F25&lt;&gt;0,G25&lt;&gt;""),(G25-F25)/F25*100,"")</f>
        <v/>
      </c>
    </row>
    <row r="26">
      <c r="H26">
        <f>IF(AND(F26&lt;&gt;"",F26&lt;&gt;0,G26&lt;&gt;""),(G26-F26)/F26*100,"")</f>
        <v/>
      </c>
    </row>
    <row r="27">
      <c r="H27">
        <f>IF(AND(F27&lt;&gt;"",F27&lt;&gt;0,G27&lt;&gt;""),(G27-F27)/F27*100,"")</f>
        <v/>
      </c>
    </row>
    <row r="28">
      <c r="H28">
        <f>IF(AND(F28&lt;&gt;"",F28&lt;&gt;0,G28&lt;&gt;""),(G28-F28)/F28*100,"")</f>
        <v/>
      </c>
    </row>
    <row r="29">
      <c r="H29">
        <f>IF(AND(F29&lt;&gt;"",F29&lt;&gt;0,G29&lt;&gt;""),(G29-F29)/F29*100,"")</f>
        <v/>
      </c>
    </row>
    <row r="30">
      <c r="H30">
        <f>IF(AND(F30&lt;&gt;"",F30&lt;&gt;0,G30&lt;&gt;""),(G30-F30)/F30*100,"")</f>
        <v/>
      </c>
    </row>
    <row r="31">
      <c r="H31">
        <f>IF(AND(F31&lt;&gt;"",F31&lt;&gt;0,G31&lt;&gt;""),(G31-F31)/F31*100,"")</f>
        <v/>
      </c>
    </row>
    <row r="32">
      <c r="H32">
        <f>IF(AND(F32&lt;&gt;"",F32&lt;&gt;0,G32&lt;&gt;""),(G32-F32)/F32*100,"")</f>
        <v/>
      </c>
    </row>
    <row r="33">
      <c r="H33">
        <f>IF(AND(F33&lt;&gt;"",F33&lt;&gt;0,G33&lt;&gt;""),(G33-F33)/F33*100,"")</f>
        <v/>
      </c>
    </row>
    <row r="34">
      <c r="H34">
        <f>IF(AND(F34&lt;&gt;"",F34&lt;&gt;0,G34&lt;&gt;""),(G34-F34)/F34*100,"")</f>
        <v/>
      </c>
    </row>
    <row r="35">
      <c r="H35">
        <f>IF(AND(F35&lt;&gt;"",F35&lt;&gt;0,G35&lt;&gt;""),(G35-F35)/F35*100,"")</f>
        <v/>
      </c>
    </row>
    <row r="36">
      <c r="H36">
        <f>IF(AND(F36&lt;&gt;"",F36&lt;&gt;0,G36&lt;&gt;""),(G36-F36)/F36*100,"")</f>
        <v/>
      </c>
    </row>
    <row r="37">
      <c r="H37">
        <f>IF(AND(F37&lt;&gt;"",F37&lt;&gt;0,G37&lt;&gt;""),(G37-F37)/F37*100,"")</f>
        <v/>
      </c>
    </row>
    <row r="38">
      <c r="H38">
        <f>IF(AND(F38&lt;&gt;"",F38&lt;&gt;0,G38&lt;&gt;""),(G38-F38)/F38*100,"")</f>
        <v/>
      </c>
    </row>
    <row r="39">
      <c r="H39">
        <f>IF(AND(F39&lt;&gt;"",F39&lt;&gt;0,G39&lt;&gt;""),(G39-F39)/F39*100,"")</f>
        <v/>
      </c>
    </row>
    <row r="40">
      <c r="H40">
        <f>IF(AND(F40&lt;&gt;"",F40&lt;&gt;0,G40&lt;&gt;""),(G40-F40)/F40*100,"")</f>
        <v/>
      </c>
    </row>
    <row r="41">
      <c r="H41">
        <f>IF(AND(F41&lt;&gt;"",F41&lt;&gt;0,G41&lt;&gt;""),(G41-F41)/F41*100,"")</f>
        <v/>
      </c>
    </row>
    <row r="42">
      <c r="H42">
        <f>IF(AND(F42&lt;&gt;"",F42&lt;&gt;0,G42&lt;&gt;""),(G42-F42)/F42*100,"")</f>
        <v/>
      </c>
    </row>
    <row r="43">
      <c r="H43">
        <f>IF(AND(F43&lt;&gt;"",F43&lt;&gt;0,G43&lt;&gt;""),(G43-F43)/F43*100,"")</f>
        <v/>
      </c>
    </row>
    <row r="44">
      <c r="H44">
        <f>IF(AND(F44&lt;&gt;"",F44&lt;&gt;0,G44&lt;&gt;""),(G44-F44)/F44*100,"")</f>
        <v/>
      </c>
    </row>
    <row r="45">
      <c r="H45">
        <f>IF(AND(F45&lt;&gt;"",F45&lt;&gt;0,G45&lt;&gt;""),(G45-F45)/F45*100,"")</f>
        <v/>
      </c>
    </row>
    <row r="46">
      <c r="H46">
        <f>IF(AND(F46&lt;&gt;"",F46&lt;&gt;0,G46&lt;&gt;""),(G46-F46)/F46*100,"")</f>
        <v/>
      </c>
    </row>
    <row r="47">
      <c r="H47">
        <f>IF(AND(F47&lt;&gt;"",F47&lt;&gt;0,G47&lt;&gt;""),(G47-F47)/F47*100,"")</f>
        <v/>
      </c>
    </row>
    <row r="48">
      <c r="H48">
        <f>IF(AND(F48&lt;&gt;"",F48&lt;&gt;0,G48&lt;&gt;""),(G48-F48)/F48*100,"")</f>
        <v/>
      </c>
    </row>
    <row r="49">
      <c r="H49">
        <f>IF(AND(F49&lt;&gt;"",F49&lt;&gt;0,G49&lt;&gt;""),(G49-F49)/F49*100,"")</f>
        <v/>
      </c>
    </row>
    <row r="50">
      <c r="H50">
        <f>IF(AND(F50&lt;&gt;"",F50&lt;&gt;0,G50&lt;&gt;""),(G50-F50)/F50*100,"")</f>
        <v/>
      </c>
    </row>
    <row r="51">
      <c r="H51">
        <f>IF(AND(F51&lt;&gt;"",F51&lt;&gt;0,G51&lt;&gt;""),(G51-F51)/F51*100,"")</f>
        <v/>
      </c>
    </row>
    <row r="52">
      <c r="H52">
        <f>IF(AND(F52&lt;&gt;"",F52&lt;&gt;0,G52&lt;&gt;""),(G52-F52)/F52*100,"")</f>
        <v/>
      </c>
    </row>
    <row r="53">
      <c r="H53">
        <f>IF(AND(F53&lt;&gt;"",F53&lt;&gt;0,G53&lt;&gt;""),(G53-F53)/F53*100,"")</f>
        <v/>
      </c>
    </row>
    <row r="54">
      <c r="H54">
        <f>IF(AND(F54&lt;&gt;"",F54&lt;&gt;0,G54&lt;&gt;""),(G54-F54)/F54*100,"")</f>
        <v/>
      </c>
    </row>
    <row r="55">
      <c r="H55">
        <f>IF(AND(F55&lt;&gt;"",F55&lt;&gt;0,G55&lt;&gt;""),(G55-F55)/F55*100,"")</f>
        <v/>
      </c>
    </row>
    <row r="56">
      <c r="H56">
        <f>IF(AND(F56&lt;&gt;"",F56&lt;&gt;0,G56&lt;&gt;""),(G56-F56)/F56*100,"")</f>
        <v/>
      </c>
    </row>
    <row r="57">
      <c r="H57">
        <f>IF(AND(F57&lt;&gt;"",F57&lt;&gt;0,G57&lt;&gt;""),(G57-F57)/F57*100,"")</f>
        <v/>
      </c>
    </row>
    <row r="58">
      <c r="H58">
        <f>IF(AND(F58&lt;&gt;"",F58&lt;&gt;0,G58&lt;&gt;""),(G58-F58)/F58*100,"")</f>
        <v/>
      </c>
    </row>
    <row r="59">
      <c r="H59">
        <f>IF(AND(F59&lt;&gt;"",F59&lt;&gt;0,G59&lt;&gt;""),(G59-F59)/F59*100,"")</f>
        <v/>
      </c>
    </row>
    <row r="60">
      <c r="H60">
        <f>IF(AND(F60&lt;&gt;"",F60&lt;&gt;0,G60&lt;&gt;""),(G60-F60)/F60*100,"")</f>
        <v/>
      </c>
    </row>
    <row r="61">
      <c r="H61">
        <f>IF(AND(F61&lt;&gt;"",F61&lt;&gt;0,G61&lt;&gt;""),(G61-F61)/F61*100,"")</f>
        <v/>
      </c>
    </row>
    <row r="62">
      <c r="H62">
        <f>IF(AND(F62&lt;&gt;"",F62&lt;&gt;0,G62&lt;&gt;""),(G62-F62)/F62*100,"")</f>
        <v/>
      </c>
    </row>
    <row r="63">
      <c r="H63">
        <f>IF(AND(F63&lt;&gt;"",F63&lt;&gt;0,G63&lt;&gt;""),(G63-F63)/F63*100,"")</f>
        <v/>
      </c>
    </row>
    <row r="64">
      <c r="H64">
        <f>IF(AND(F64&lt;&gt;"",F64&lt;&gt;0,G64&lt;&gt;""),(G64-F64)/F64*100,"")</f>
        <v/>
      </c>
    </row>
    <row r="65">
      <c r="H65">
        <f>IF(AND(F65&lt;&gt;"",F65&lt;&gt;0,G65&lt;&gt;""),(G65-F65)/F65*100,"")</f>
        <v/>
      </c>
    </row>
    <row r="66">
      <c r="H66">
        <f>IF(AND(F66&lt;&gt;"",F66&lt;&gt;0,G66&lt;&gt;""),(G66-F66)/F66*100,"")</f>
        <v/>
      </c>
    </row>
    <row r="67">
      <c r="H67">
        <f>IF(AND(F67&lt;&gt;"",F67&lt;&gt;0,G67&lt;&gt;""),(G67-F67)/F67*100,"")</f>
        <v/>
      </c>
    </row>
    <row r="68">
      <c r="H68">
        <f>IF(AND(F68&lt;&gt;"",F68&lt;&gt;0,G68&lt;&gt;""),(G68-F68)/F68*100,"")</f>
        <v/>
      </c>
    </row>
    <row r="69">
      <c r="H69">
        <f>IF(AND(F69&lt;&gt;"",F69&lt;&gt;0,G69&lt;&gt;""),(G69-F69)/F69*100,"")</f>
        <v/>
      </c>
    </row>
    <row r="70">
      <c r="H70">
        <f>IF(AND(F70&lt;&gt;"",F70&lt;&gt;0,G70&lt;&gt;""),(G70-F70)/F70*100,"")</f>
        <v/>
      </c>
    </row>
    <row r="71">
      <c r="H71">
        <f>IF(AND(F71&lt;&gt;"",F71&lt;&gt;0,G71&lt;&gt;""),(G71-F71)/F71*100,"")</f>
        <v/>
      </c>
    </row>
    <row r="72">
      <c r="H72">
        <f>IF(AND(F72&lt;&gt;"",F72&lt;&gt;0,G72&lt;&gt;""),(G72-F72)/F72*100,"")</f>
        <v/>
      </c>
    </row>
    <row r="73">
      <c r="H73">
        <f>IF(AND(F73&lt;&gt;"",F73&lt;&gt;0,G73&lt;&gt;""),(G73-F73)/F73*100,"")</f>
        <v/>
      </c>
    </row>
    <row r="74">
      <c r="H74">
        <f>IF(AND(F74&lt;&gt;"",F74&lt;&gt;0,G74&lt;&gt;""),(G74-F74)/F74*100,"")</f>
        <v/>
      </c>
    </row>
    <row r="75">
      <c r="H75">
        <f>IF(AND(F75&lt;&gt;"",F75&lt;&gt;0,G75&lt;&gt;""),(G75-F75)/F75*100,"")</f>
        <v/>
      </c>
    </row>
    <row r="76">
      <c r="H76">
        <f>IF(AND(F76&lt;&gt;"",F76&lt;&gt;0,G76&lt;&gt;""),(G76-F76)/F76*100,"")</f>
        <v/>
      </c>
    </row>
    <row r="77">
      <c r="H77">
        <f>IF(AND(F77&lt;&gt;"",F77&lt;&gt;0,G77&lt;&gt;""),(G77-F77)/F77*100,"")</f>
        <v/>
      </c>
    </row>
    <row r="78">
      <c r="H78">
        <f>IF(AND(F78&lt;&gt;"",F78&lt;&gt;0,G78&lt;&gt;""),(G78-F78)/F78*100,"")</f>
        <v/>
      </c>
    </row>
    <row r="79">
      <c r="H79">
        <f>IF(AND(F79&lt;&gt;"",F79&lt;&gt;0,G79&lt;&gt;""),(G79-F79)/F79*100,"")</f>
        <v/>
      </c>
    </row>
    <row r="80">
      <c r="H80">
        <f>IF(AND(F80&lt;&gt;"",F80&lt;&gt;0,G80&lt;&gt;""),(G80-F80)/F80*100,"")</f>
        <v/>
      </c>
    </row>
    <row r="81">
      <c r="H81">
        <f>IF(AND(F81&lt;&gt;"",F81&lt;&gt;0,G81&lt;&gt;""),(G81-F81)/F81*100,"")</f>
        <v/>
      </c>
    </row>
    <row r="82">
      <c r="H82">
        <f>IF(AND(F82&lt;&gt;"",F82&lt;&gt;0,G82&lt;&gt;""),(G82-F82)/F82*100,"")</f>
        <v/>
      </c>
    </row>
    <row r="83">
      <c r="H83">
        <f>IF(AND(F83&lt;&gt;"",F83&lt;&gt;0,G83&lt;&gt;""),(G83-F83)/F83*100,"")</f>
        <v/>
      </c>
    </row>
    <row r="84">
      <c r="H84">
        <f>IF(AND(F84&lt;&gt;"",F84&lt;&gt;0,G84&lt;&gt;""),(G84-F84)/F84*100,"")</f>
        <v/>
      </c>
    </row>
    <row r="85">
      <c r="H85">
        <f>IF(AND(F85&lt;&gt;"",F85&lt;&gt;0,G85&lt;&gt;""),(G85-F85)/F85*100,"")</f>
        <v/>
      </c>
    </row>
    <row r="86">
      <c r="H86">
        <f>IF(AND(F86&lt;&gt;"",F86&lt;&gt;0,G86&lt;&gt;""),(G86-F86)/F86*100,"")</f>
        <v/>
      </c>
    </row>
    <row r="87">
      <c r="H87">
        <f>IF(AND(F87&lt;&gt;"",F87&lt;&gt;0,G87&lt;&gt;""),(G87-F87)/F87*100,"")</f>
        <v/>
      </c>
    </row>
    <row r="88">
      <c r="H88">
        <f>IF(AND(F88&lt;&gt;"",F88&lt;&gt;0,G88&lt;&gt;""),(G88-F88)/F88*100,"")</f>
        <v/>
      </c>
    </row>
    <row r="89">
      <c r="H89">
        <f>IF(AND(F89&lt;&gt;"",F89&lt;&gt;0,G89&lt;&gt;""),(G89-F89)/F89*100,"")</f>
        <v/>
      </c>
    </row>
    <row r="90">
      <c r="H90">
        <f>IF(AND(F90&lt;&gt;"",F90&lt;&gt;0,G90&lt;&gt;""),(G90-F90)/F90*100,"")</f>
        <v/>
      </c>
    </row>
    <row r="91">
      <c r="H91">
        <f>IF(AND(F91&lt;&gt;"",F91&lt;&gt;0,G91&lt;&gt;""),(G91-F91)/F91*100,"")</f>
        <v/>
      </c>
    </row>
    <row r="92">
      <c r="H92">
        <f>IF(AND(F92&lt;&gt;"",F92&lt;&gt;0,G92&lt;&gt;""),(G92-F92)/F92*100,"")</f>
        <v/>
      </c>
    </row>
    <row r="93">
      <c r="H93">
        <f>IF(AND(F93&lt;&gt;"",F93&lt;&gt;0,G93&lt;&gt;""),(G93-F93)/F93*100,"")</f>
        <v/>
      </c>
    </row>
    <row r="94">
      <c r="H94">
        <f>IF(AND(F94&lt;&gt;"",F94&lt;&gt;0,G94&lt;&gt;""),(G94-F94)/F94*100,"")</f>
        <v/>
      </c>
    </row>
    <row r="95">
      <c r="H95">
        <f>IF(AND(F95&lt;&gt;"",F95&lt;&gt;0,G95&lt;&gt;""),(G95-F95)/F95*100,"")</f>
        <v/>
      </c>
    </row>
    <row r="96">
      <c r="H96">
        <f>IF(AND(F96&lt;&gt;"",F96&lt;&gt;0,G96&lt;&gt;""),(G96-F96)/F96*100,"")</f>
        <v/>
      </c>
    </row>
    <row r="97">
      <c r="H97">
        <f>IF(AND(F97&lt;&gt;"",F97&lt;&gt;0,G97&lt;&gt;""),(G97-F97)/F97*100,"")</f>
        <v/>
      </c>
    </row>
    <row r="98">
      <c r="H98">
        <f>IF(AND(F98&lt;&gt;"",F98&lt;&gt;0,G98&lt;&gt;""),(G98-F98)/F98*100,"")</f>
        <v/>
      </c>
    </row>
    <row r="99">
      <c r="H99">
        <f>IF(AND(F99&lt;&gt;"",F99&lt;&gt;0,G99&lt;&gt;""),(G99-F99)/F99*100,"")</f>
        <v/>
      </c>
    </row>
    <row r="100">
      <c r="H100">
        <f>IF(AND(F100&lt;&gt;"",F100&lt;&gt;0,G100&lt;&gt;""),(G100-F100)/F100*100,"")</f>
        <v/>
      </c>
    </row>
    <row r="101">
      <c r="H101">
        <f>IF(AND(F101&lt;&gt;"",F101&lt;&gt;0,G101&lt;&gt;""),(G101-F101)/F101*100,"")</f>
        <v/>
      </c>
    </row>
    <row r="102">
      <c r="H102">
        <f>IF(AND(F102&lt;&gt;"",F102&lt;&gt;0,G102&lt;&gt;""),(G102-F102)/F102*100,"")</f>
        <v/>
      </c>
    </row>
    <row r="103">
      <c r="H103">
        <f>IF(AND(F103&lt;&gt;"",F103&lt;&gt;0,G103&lt;&gt;""),(G103-F103)/F103*100,"")</f>
        <v/>
      </c>
    </row>
    <row r="104">
      <c r="H104">
        <f>IF(AND(F104&lt;&gt;"",F104&lt;&gt;0,G104&lt;&gt;""),(G104-F104)/F104*100,"")</f>
        <v/>
      </c>
    </row>
    <row r="105">
      <c r="H105">
        <f>IF(AND(F105&lt;&gt;"",F105&lt;&gt;0,G105&lt;&gt;""),(G105-F105)/F105*100,"")</f>
        <v/>
      </c>
    </row>
    <row r="106">
      <c r="H106">
        <f>IF(AND(F106&lt;&gt;"",F106&lt;&gt;0,G106&lt;&gt;""),(G106-F106)/F106*100,"")</f>
        <v/>
      </c>
    </row>
    <row r="107">
      <c r="H107">
        <f>IF(AND(F107&lt;&gt;"",F107&lt;&gt;0,G107&lt;&gt;""),(G107-F107)/F107*100,"")</f>
        <v/>
      </c>
    </row>
    <row r="108">
      <c r="H108">
        <f>IF(AND(F108&lt;&gt;"",F108&lt;&gt;0,G108&lt;&gt;""),(G108-F108)/F108*100,"")</f>
        <v/>
      </c>
    </row>
    <row r="109">
      <c r="H109">
        <f>IF(AND(F109&lt;&gt;"",F109&lt;&gt;0,G109&lt;&gt;""),(G109-F109)/F109*100,"")</f>
        <v/>
      </c>
    </row>
    <row r="110">
      <c r="H110">
        <f>IF(AND(F110&lt;&gt;"",F110&lt;&gt;0,G110&lt;&gt;""),(G110-F110)/F110*100,"")</f>
        <v/>
      </c>
    </row>
    <row r="111">
      <c r="H111">
        <f>IF(AND(F111&lt;&gt;"",F111&lt;&gt;0,G111&lt;&gt;""),(G111-F111)/F111*100,"")</f>
        <v/>
      </c>
    </row>
    <row r="112">
      <c r="H112">
        <f>IF(AND(F112&lt;&gt;"",F112&lt;&gt;0,G112&lt;&gt;""),(G112-F112)/F112*100,"")</f>
        <v/>
      </c>
    </row>
    <row r="113">
      <c r="H113">
        <f>IF(AND(F113&lt;&gt;"",F113&lt;&gt;0,G113&lt;&gt;""),(G113-F113)/F113*100,"")</f>
        <v/>
      </c>
    </row>
    <row r="114">
      <c r="H114">
        <f>IF(AND(F114&lt;&gt;"",F114&lt;&gt;0,G114&lt;&gt;""),(G114-F114)/F114*100,"")</f>
        <v/>
      </c>
    </row>
    <row r="115">
      <c r="H115">
        <f>IF(AND(F115&lt;&gt;"",F115&lt;&gt;0,G115&lt;&gt;""),(G115-F115)/F115*100,"")</f>
        <v/>
      </c>
    </row>
    <row r="116">
      <c r="H116">
        <f>IF(AND(F116&lt;&gt;"",F116&lt;&gt;0,G116&lt;&gt;""),(G116-F116)/F116*100,"")</f>
        <v/>
      </c>
    </row>
    <row r="117">
      <c r="H117">
        <f>IF(AND(F117&lt;&gt;"",F117&lt;&gt;0,G117&lt;&gt;""),(G117-F117)/F117*100,"")</f>
        <v/>
      </c>
    </row>
    <row r="118">
      <c r="H118">
        <f>IF(AND(F118&lt;&gt;"",F118&lt;&gt;0,G118&lt;&gt;""),(G118-F118)/F118*100,"")</f>
        <v/>
      </c>
    </row>
    <row r="119">
      <c r="H119">
        <f>IF(AND(F119&lt;&gt;"",F119&lt;&gt;0,G119&lt;&gt;""),(G119-F119)/F119*100,"")</f>
        <v/>
      </c>
    </row>
    <row r="120">
      <c r="H120">
        <f>IF(AND(F120&lt;&gt;"",F120&lt;&gt;0,G120&lt;&gt;""),(G120-F120)/F120*100,"")</f>
        <v/>
      </c>
    </row>
    <row r="121">
      <c r="H121">
        <f>IF(AND(F121&lt;&gt;"",F121&lt;&gt;0,G121&lt;&gt;""),(G121-F121)/F121*100,"")</f>
        <v/>
      </c>
    </row>
    <row r="122">
      <c r="H122">
        <f>IF(AND(F122&lt;&gt;"",F122&lt;&gt;0,G122&lt;&gt;""),(G122-F122)/F122*100,"")</f>
        <v/>
      </c>
    </row>
    <row r="123">
      <c r="H123">
        <f>IF(AND(F123&lt;&gt;"",F123&lt;&gt;0,G123&lt;&gt;""),(G123-F123)/F123*100,"")</f>
        <v/>
      </c>
    </row>
    <row r="124">
      <c r="H124">
        <f>IF(AND(F124&lt;&gt;"",F124&lt;&gt;0,G124&lt;&gt;""),(G124-F124)/F124*100,"")</f>
        <v/>
      </c>
    </row>
    <row r="125">
      <c r="H125">
        <f>IF(AND(F125&lt;&gt;"",F125&lt;&gt;0,G125&lt;&gt;""),(G125-F125)/F125*100,"")</f>
        <v/>
      </c>
    </row>
    <row r="126">
      <c r="H126">
        <f>IF(AND(F126&lt;&gt;"",F126&lt;&gt;0,G126&lt;&gt;""),(G126-F126)/F126*100,"")</f>
        <v/>
      </c>
    </row>
    <row r="127">
      <c r="H127">
        <f>IF(AND(F127&lt;&gt;"",F127&lt;&gt;0,G127&lt;&gt;""),(G127-F127)/F127*100,"")</f>
        <v/>
      </c>
    </row>
    <row r="128">
      <c r="H128">
        <f>IF(AND(F128&lt;&gt;"",F128&lt;&gt;0,G128&lt;&gt;""),(G128-F128)/F128*100,"")</f>
        <v/>
      </c>
    </row>
    <row r="129">
      <c r="H129">
        <f>IF(AND(F129&lt;&gt;"",F129&lt;&gt;0,G129&lt;&gt;""),(G129-F129)/F129*100,"")</f>
        <v/>
      </c>
    </row>
    <row r="130">
      <c r="H130">
        <f>IF(AND(F130&lt;&gt;"",F130&lt;&gt;0,G130&lt;&gt;""),(G130-F130)/F130*100,"")</f>
        <v/>
      </c>
    </row>
    <row r="131">
      <c r="H131">
        <f>IF(AND(F131&lt;&gt;"",F131&lt;&gt;0,G131&lt;&gt;""),(G131-F131)/F131*100,"")</f>
        <v/>
      </c>
    </row>
    <row r="132">
      <c r="H132">
        <f>IF(AND(F132&lt;&gt;"",F132&lt;&gt;0,G132&lt;&gt;""),(G132-F132)/F132*100,"")</f>
        <v/>
      </c>
    </row>
    <row r="133">
      <c r="H133">
        <f>IF(AND(F133&lt;&gt;"",F133&lt;&gt;0,G133&lt;&gt;""),(G133-F133)/F133*100,"")</f>
        <v/>
      </c>
    </row>
    <row r="134">
      <c r="H134">
        <f>IF(AND(F134&lt;&gt;"",F134&lt;&gt;0,G134&lt;&gt;""),(G134-F134)/F134*100,"")</f>
        <v/>
      </c>
    </row>
    <row r="135">
      <c r="H135">
        <f>IF(AND(F135&lt;&gt;"",F135&lt;&gt;0,G135&lt;&gt;""),(G135-F135)/F135*100,"")</f>
        <v/>
      </c>
    </row>
    <row r="136">
      <c r="H136">
        <f>IF(AND(F136&lt;&gt;"",F136&lt;&gt;0,G136&lt;&gt;""),(G136-F136)/F136*100,"")</f>
        <v/>
      </c>
    </row>
    <row r="137">
      <c r="H137">
        <f>IF(AND(F137&lt;&gt;"",F137&lt;&gt;0,G137&lt;&gt;""),(G137-F137)/F137*100,"")</f>
        <v/>
      </c>
    </row>
    <row r="138">
      <c r="H138">
        <f>IF(AND(F138&lt;&gt;"",F138&lt;&gt;0,G138&lt;&gt;""),(G138-F138)/F138*100,"")</f>
        <v/>
      </c>
    </row>
    <row r="139">
      <c r="H139">
        <f>IF(AND(F139&lt;&gt;"",F139&lt;&gt;0,G139&lt;&gt;""),(G139-F139)/F139*100,"")</f>
        <v/>
      </c>
    </row>
    <row r="140">
      <c r="H140">
        <f>IF(AND(F140&lt;&gt;"",F140&lt;&gt;0,G140&lt;&gt;""),(G140-F140)/F140*100,"")</f>
        <v/>
      </c>
    </row>
    <row r="141">
      <c r="H141">
        <f>IF(AND(F141&lt;&gt;"",F141&lt;&gt;0,G141&lt;&gt;""),(G141-F141)/F141*100,"")</f>
        <v/>
      </c>
    </row>
    <row r="142">
      <c r="H142">
        <f>IF(AND(F142&lt;&gt;"",F142&lt;&gt;0,G142&lt;&gt;""),(G142-F142)/F142*100,"")</f>
        <v/>
      </c>
    </row>
    <row r="143">
      <c r="H143">
        <f>IF(AND(F143&lt;&gt;"",F143&lt;&gt;0,G143&lt;&gt;""),(G143-F143)/F143*100,"")</f>
        <v/>
      </c>
    </row>
    <row r="144">
      <c r="H144">
        <f>IF(AND(F144&lt;&gt;"",F144&lt;&gt;0,G144&lt;&gt;""),(G144-F144)/F144*100,"")</f>
        <v/>
      </c>
    </row>
    <row r="145">
      <c r="H145">
        <f>IF(AND(F145&lt;&gt;"",F145&lt;&gt;0,G145&lt;&gt;""),(G145-F145)/F145*100,"")</f>
        <v/>
      </c>
    </row>
    <row r="146">
      <c r="H146">
        <f>IF(AND(F146&lt;&gt;"",F146&lt;&gt;0,G146&lt;&gt;""),(G146-F146)/F146*100,"")</f>
        <v/>
      </c>
    </row>
    <row r="147">
      <c r="H147">
        <f>IF(AND(F147&lt;&gt;"",F147&lt;&gt;0,G147&lt;&gt;""),(G147-F147)/F147*100,"")</f>
        <v/>
      </c>
    </row>
    <row r="148">
      <c r="H148">
        <f>IF(AND(F148&lt;&gt;"",F148&lt;&gt;0,G148&lt;&gt;""),(G148-F148)/F148*100,"")</f>
        <v/>
      </c>
    </row>
    <row r="149">
      <c r="H149">
        <f>IF(AND(F149&lt;&gt;"",F149&lt;&gt;0,G149&lt;&gt;""),(G149-F149)/F149*100,"")</f>
        <v/>
      </c>
    </row>
    <row r="150">
      <c r="H150">
        <f>IF(AND(F150&lt;&gt;"",F150&lt;&gt;0,G150&lt;&gt;""),(G150-F150)/F150*100,"")</f>
        <v/>
      </c>
    </row>
    <row r="151">
      <c r="H151">
        <f>IF(AND(F151&lt;&gt;"",F151&lt;&gt;0,G151&lt;&gt;""),(G151-F151)/F151*100,"")</f>
        <v/>
      </c>
    </row>
    <row r="152">
      <c r="H152">
        <f>IF(AND(F152&lt;&gt;"",F152&lt;&gt;0,G152&lt;&gt;""),(G152-F152)/F152*100,"")</f>
        <v/>
      </c>
    </row>
    <row r="153">
      <c r="H153">
        <f>IF(AND(F153&lt;&gt;"",F153&lt;&gt;0,G153&lt;&gt;""),(G153-F153)/F153*100,"")</f>
        <v/>
      </c>
    </row>
    <row r="154">
      <c r="H154">
        <f>IF(AND(F154&lt;&gt;"",F154&lt;&gt;0,G154&lt;&gt;""),(G154-F154)/F154*100,"")</f>
        <v/>
      </c>
    </row>
    <row r="155">
      <c r="H155">
        <f>IF(AND(F155&lt;&gt;"",F155&lt;&gt;0,G155&lt;&gt;""),(G155-F155)/F155*100,"")</f>
        <v/>
      </c>
    </row>
    <row r="156">
      <c r="H156">
        <f>IF(AND(F156&lt;&gt;"",F156&lt;&gt;0,G156&lt;&gt;""),(G156-F156)/F156*100,"")</f>
        <v/>
      </c>
    </row>
    <row r="157">
      <c r="H157">
        <f>IF(AND(F157&lt;&gt;"",F157&lt;&gt;0,G157&lt;&gt;""),(G157-F157)/F157*100,"")</f>
        <v/>
      </c>
    </row>
    <row r="158">
      <c r="H158">
        <f>IF(AND(F158&lt;&gt;"",F158&lt;&gt;0,G158&lt;&gt;""),(G158-F158)/F158*100,"")</f>
        <v/>
      </c>
    </row>
    <row r="159">
      <c r="H159">
        <f>IF(AND(F159&lt;&gt;"",F159&lt;&gt;0,G159&lt;&gt;""),(G159-F159)/F159*100,"")</f>
        <v/>
      </c>
    </row>
    <row r="160">
      <c r="H160">
        <f>IF(AND(F160&lt;&gt;"",F160&lt;&gt;0,G160&lt;&gt;""),(G160-F160)/F160*100,"")</f>
        <v/>
      </c>
    </row>
    <row r="161">
      <c r="H161">
        <f>IF(AND(F161&lt;&gt;"",F161&lt;&gt;0,G161&lt;&gt;""),(G161-F161)/F161*100,"")</f>
        <v/>
      </c>
    </row>
    <row r="162">
      <c r="H162">
        <f>IF(AND(F162&lt;&gt;"",F162&lt;&gt;0,G162&lt;&gt;""),(G162-F162)/F162*100,"")</f>
        <v/>
      </c>
    </row>
    <row r="163">
      <c r="H163">
        <f>IF(AND(F163&lt;&gt;"",F163&lt;&gt;0,G163&lt;&gt;""),(G163-F163)/F163*100,"")</f>
        <v/>
      </c>
    </row>
    <row r="164">
      <c r="H164">
        <f>IF(AND(F164&lt;&gt;"",F164&lt;&gt;0,G164&lt;&gt;""),(G164-F164)/F164*100,"")</f>
        <v/>
      </c>
    </row>
    <row r="165">
      <c r="H165">
        <f>IF(AND(F165&lt;&gt;"",F165&lt;&gt;0,G165&lt;&gt;""),(G165-F165)/F165*100,"")</f>
        <v/>
      </c>
    </row>
    <row r="166">
      <c r="H166">
        <f>IF(AND(F166&lt;&gt;"",F166&lt;&gt;0,G166&lt;&gt;""),(G166-F166)/F166*100,"")</f>
        <v/>
      </c>
    </row>
    <row r="167">
      <c r="H167">
        <f>IF(AND(F167&lt;&gt;"",F167&lt;&gt;0,G167&lt;&gt;""),(G167-F167)/F167*100,"")</f>
        <v/>
      </c>
    </row>
    <row r="168">
      <c r="H168">
        <f>IF(AND(F168&lt;&gt;"",F168&lt;&gt;0,G168&lt;&gt;""),(G168-F168)/F168*100,"")</f>
        <v/>
      </c>
    </row>
    <row r="169">
      <c r="H169">
        <f>IF(AND(F169&lt;&gt;"",F169&lt;&gt;0,G169&lt;&gt;""),(G169-F169)/F169*100,"")</f>
        <v/>
      </c>
    </row>
    <row r="170">
      <c r="H170">
        <f>IF(AND(F170&lt;&gt;"",F170&lt;&gt;0,G170&lt;&gt;""),(G170-F170)/F170*100,"")</f>
        <v/>
      </c>
    </row>
    <row r="171">
      <c r="H171">
        <f>IF(AND(F171&lt;&gt;"",F171&lt;&gt;0,G171&lt;&gt;""),(G171-F171)/F171*100,"")</f>
        <v/>
      </c>
    </row>
    <row r="172">
      <c r="H172">
        <f>IF(AND(F172&lt;&gt;"",F172&lt;&gt;0,G172&lt;&gt;""),(G172-F172)/F172*100,"")</f>
        <v/>
      </c>
    </row>
    <row r="173">
      <c r="H173">
        <f>IF(AND(F173&lt;&gt;"",F173&lt;&gt;0,G173&lt;&gt;""),(G173-F173)/F173*100,"")</f>
        <v/>
      </c>
    </row>
    <row r="174">
      <c r="H174">
        <f>IF(AND(F174&lt;&gt;"",F174&lt;&gt;0,G174&lt;&gt;""),(G174-F174)/F174*100,"")</f>
        <v/>
      </c>
    </row>
    <row r="175">
      <c r="H175">
        <f>IF(AND(F175&lt;&gt;"",F175&lt;&gt;0,G175&lt;&gt;""),(G175-F175)/F175*100,"")</f>
        <v/>
      </c>
    </row>
    <row r="176">
      <c r="H176">
        <f>IF(AND(F176&lt;&gt;"",F176&lt;&gt;0,G176&lt;&gt;""),(G176-F176)/F176*100,"")</f>
        <v/>
      </c>
    </row>
    <row r="177">
      <c r="H177">
        <f>IF(AND(F177&lt;&gt;"",F177&lt;&gt;0,G177&lt;&gt;""),(G177-F177)/F177*100,"")</f>
        <v/>
      </c>
    </row>
    <row r="178">
      <c r="H178">
        <f>IF(AND(F178&lt;&gt;"",F178&lt;&gt;0,G178&lt;&gt;""),(G178-F178)/F178*100,"")</f>
        <v/>
      </c>
    </row>
    <row r="179">
      <c r="H179">
        <f>IF(AND(F179&lt;&gt;"",F179&lt;&gt;0,G179&lt;&gt;""),(G179-F179)/F179*100,"")</f>
        <v/>
      </c>
    </row>
    <row r="180">
      <c r="H180">
        <f>IF(AND(F180&lt;&gt;"",F180&lt;&gt;0,G180&lt;&gt;""),(G180-F180)/F180*100,"")</f>
        <v/>
      </c>
    </row>
    <row r="181">
      <c r="H181">
        <f>IF(AND(F181&lt;&gt;"",F181&lt;&gt;0,G181&lt;&gt;""),(G181-F181)/F181*100,"")</f>
        <v/>
      </c>
    </row>
    <row r="182">
      <c r="H182">
        <f>IF(AND(F182&lt;&gt;"",F182&lt;&gt;0,G182&lt;&gt;""),(G182-F182)/F182*100,"")</f>
        <v/>
      </c>
    </row>
    <row r="183">
      <c r="H183">
        <f>IF(AND(F183&lt;&gt;"",F183&lt;&gt;0,G183&lt;&gt;""),(G183-F183)/F183*100,"")</f>
        <v/>
      </c>
    </row>
    <row r="184">
      <c r="H184">
        <f>IF(AND(F184&lt;&gt;"",F184&lt;&gt;0,G184&lt;&gt;""),(G184-F184)/F184*100,"")</f>
        <v/>
      </c>
    </row>
    <row r="185">
      <c r="H185">
        <f>IF(AND(F185&lt;&gt;"",F185&lt;&gt;0,G185&lt;&gt;""),(G185-F185)/F185*100,"")</f>
        <v/>
      </c>
    </row>
    <row r="186">
      <c r="H186">
        <f>IF(AND(F186&lt;&gt;"",F186&lt;&gt;0,G186&lt;&gt;""),(G186-F186)/F186*100,"")</f>
        <v/>
      </c>
    </row>
    <row r="187">
      <c r="H187">
        <f>IF(AND(F187&lt;&gt;"",F187&lt;&gt;0,G187&lt;&gt;""),(G187-F187)/F187*100,"")</f>
        <v/>
      </c>
    </row>
    <row r="188">
      <c r="H188">
        <f>IF(AND(F188&lt;&gt;"",F188&lt;&gt;0,G188&lt;&gt;""),(G188-F188)/F188*100,"")</f>
        <v/>
      </c>
    </row>
    <row r="189">
      <c r="H189">
        <f>IF(AND(F189&lt;&gt;"",F189&lt;&gt;0,G189&lt;&gt;""),(G189-F189)/F189*100,"")</f>
        <v/>
      </c>
    </row>
    <row r="190">
      <c r="H190">
        <f>IF(AND(F190&lt;&gt;"",F190&lt;&gt;0,G190&lt;&gt;""),(G190-F190)/F190*100,"")</f>
        <v/>
      </c>
    </row>
    <row r="191">
      <c r="H191">
        <f>IF(AND(F191&lt;&gt;"",F191&lt;&gt;0,G191&lt;&gt;""),(G191-F191)/F191*100,"")</f>
        <v/>
      </c>
    </row>
    <row r="192">
      <c r="H192">
        <f>IF(AND(F192&lt;&gt;"",F192&lt;&gt;0,G192&lt;&gt;""),(G192-F192)/F192*100,"")</f>
        <v/>
      </c>
    </row>
    <row r="193">
      <c r="H193">
        <f>IF(AND(F193&lt;&gt;"",F193&lt;&gt;0,G193&lt;&gt;""),(G193-F193)/F193*100,"")</f>
        <v/>
      </c>
    </row>
    <row r="194">
      <c r="H194">
        <f>IF(AND(F194&lt;&gt;"",F194&lt;&gt;0,G194&lt;&gt;""),(G194-F194)/F194*100,"")</f>
        <v/>
      </c>
    </row>
    <row r="195">
      <c r="H195">
        <f>IF(AND(F195&lt;&gt;"",F195&lt;&gt;0,G195&lt;&gt;""),(G195-F195)/F195*100,"")</f>
        <v/>
      </c>
    </row>
    <row r="196">
      <c r="H196">
        <f>IF(AND(F196&lt;&gt;"",F196&lt;&gt;0,G196&lt;&gt;""),(G196-F196)/F196*100,"")</f>
        <v/>
      </c>
    </row>
    <row r="197">
      <c r="H197">
        <f>IF(AND(F197&lt;&gt;"",F197&lt;&gt;0,G197&lt;&gt;""),(G197-F197)/F197*100,"")</f>
        <v/>
      </c>
    </row>
    <row r="198">
      <c r="H198">
        <f>IF(AND(F198&lt;&gt;"",F198&lt;&gt;0,G198&lt;&gt;""),(G198-F198)/F198*100,"")</f>
        <v/>
      </c>
    </row>
    <row r="199">
      <c r="H199">
        <f>IF(AND(F199&lt;&gt;"",F199&lt;&gt;0,G199&lt;&gt;""),(G199-F199)/F199*100,"")</f>
        <v/>
      </c>
    </row>
    <row r="200">
      <c r="H200">
        <f>IF(AND(F200&lt;&gt;"",F200&lt;&gt;0,G200&lt;&gt;""),(G200-F200)/F200*100,"")</f>
        <v/>
      </c>
    </row>
    <row r="201">
      <c r="H201">
        <f>IF(AND(F201&lt;&gt;"",F201&lt;&gt;0,G201&lt;&gt;""),(G201-F201)/F201*100,"")</f>
        <v/>
      </c>
    </row>
    <row r="202">
      <c r="H202">
        <f>IF(AND(F202&lt;&gt;"",F202&lt;&gt;0,G202&lt;&gt;""),(G202-F202)/F202*100,"")</f>
        <v/>
      </c>
    </row>
    <row r="203">
      <c r="H203">
        <f>IF(AND(F203&lt;&gt;"",F203&lt;&gt;0,G203&lt;&gt;""),(G203-F203)/F203*100,"")</f>
        <v/>
      </c>
    </row>
    <row r="204">
      <c r="H204">
        <f>IF(AND(F204&lt;&gt;"",F204&lt;&gt;0,G204&lt;&gt;""),(G204-F204)/F204*100,"")</f>
        <v/>
      </c>
    </row>
    <row r="205">
      <c r="H205">
        <f>IF(AND(F205&lt;&gt;"",F205&lt;&gt;0,G205&lt;&gt;""),(G205-F205)/F205*100,"")</f>
        <v/>
      </c>
    </row>
    <row r="206">
      <c r="H206">
        <f>IF(AND(F206&lt;&gt;"",F206&lt;&gt;0,G206&lt;&gt;""),(G206-F206)/F206*100,"")</f>
        <v/>
      </c>
    </row>
    <row r="207">
      <c r="H207">
        <f>IF(AND(F207&lt;&gt;"",F207&lt;&gt;0,G207&lt;&gt;""),(G207-F207)/F207*100,"")</f>
        <v/>
      </c>
    </row>
    <row r="208">
      <c r="H208">
        <f>IF(AND(F208&lt;&gt;"",F208&lt;&gt;0,G208&lt;&gt;""),(G208-F208)/F208*100,"")</f>
        <v/>
      </c>
    </row>
    <row r="209">
      <c r="H209">
        <f>IF(AND(F209&lt;&gt;"",F209&lt;&gt;0,G209&lt;&gt;""),(G209-F209)/F209*100,"")</f>
        <v/>
      </c>
    </row>
    <row r="210">
      <c r="H210">
        <f>IF(AND(F210&lt;&gt;"",F210&lt;&gt;0,G210&lt;&gt;""),(G210-F210)/F210*100,"")</f>
        <v/>
      </c>
    </row>
    <row r="211">
      <c r="H211">
        <f>IF(AND(F211&lt;&gt;"",F211&lt;&gt;0,G211&lt;&gt;""),(G211-F211)/F211*100,"")</f>
        <v/>
      </c>
    </row>
    <row r="212">
      <c r="H212">
        <f>IF(AND(F212&lt;&gt;"",F212&lt;&gt;0,G212&lt;&gt;""),(G212-F212)/F212*100,"")</f>
        <v/>
      </c>
    </row>
    <row r="213">
      <c r="H213">
        <f>IF(AND(F213&lt;&gt;"",F213&lt;&gt;0,G213&lt;&gt;""),(G213-F213)/F213*100,"")</f>
        <v/>
      </c>
    </row>
    <row r="214">
      <c r="H214">
        <f>IF(AND(F214&lt;&gt;"",F214&lt;&gt;0,G214&lt;&gt;""),(G214-F214)/F214*100,"")</f>
        <v/>
      </c>
    </row>
    <row r="215">
      <c r="H215">
        <f>IF(AND(F215&lt;&gt;"",F215&lt;&gt;0,G215&lt;&gt;""),(G215-F215)/F215*100,"")</f>
        <v/>
      </c>
    </row>
    <row r="216">
      <c r="H216">
        <f>IF(AND(F216&lt;&gt;"",F216&lt;&gt;0,G216&lt;&gt;""),(G216-F216)/F216*100,"")</f>
        <v/>
      </c>
    </row>
    <row r="217">
      <c r="H217">
        <f>IF(AND(F217&lt;&gt;"",F217&lt;&gt;0,G217&lt;&gt;""),(G217-F217)/F217*100,"")</f>
        <v/>
      </c>
    </row>
    <row r="218">
      <c r="H218">
        <f>IF(AND(F218&lt;&gt;"",F218&lt;&gt;0,G218&lt;&gt;""),(G218-F218)/F218*100,"")</f>
        <v/>
      </c>
    </row>
    <row r="219">
      <c r="H219">
        <f>IF(AND(F219&lt;&gt;"",F219&lt;&gt;0,G219&lt;&gt;""),(G219-F219)/F219*100,"")</f>
        <v/>
      </c>
    </row>
    <row r="220">
      <c r="H220">
        <f>IF(AND(F220&lt;&gt;"",F220&lt;&gt;0,G220&lt;&gt;""),(G220-F220)/F220*100,"")</f>
        <v/>
      </c>
    </row>
    <row r="221">
      <c r="H221">
        <f>IF(AND(F221&lt;&gt;"",F221&lt;&gt;0,G221&lt;&gt;""),(G221-F221)/F221*100,"")</f>
        <v/>
      </c>
    </row>
    <row r="222">
      <c r="H222">
        <f>IF(AND(F222&lt;&gt;"",F222&lt;&gt;0,G222&lt;&gt;""),(G222-F222)/F222*100,"")</f>
        <v/>
      </c>
    </row>
    <row r="223">
      <c r="H223">
        <f>IF(AND(F223&lt;&gt;"",F223&lt;&gt;0,G223&lt;&gt;""),(G223-F223)/F223*100,"")</f>
        <v/>
      </c>
    </row>
    <row r="224">
      <c r="H224">
        <f>IF(AND(F224&lt;&gt;"",F224&lt;&gt;0,G224&lt;&gt;""),(G224-F224)/F224*100,"")</f>
        <v/>
      </c>
    </row>
    <row r="225">
      <c r="H225">
        <f>IF(AND(F225&lt;&gt;"",F225&lt;&gt;0,G225&lt;&gt;""),(G225-F225)/F225*100,"")</f>
        <v/>
      </c>
    </row>
    <row r="226">
      <c r="H226">
        <f>IF(AND(F226&lt;&gt;"",F226&lt;&gt;0,G226&lt;&gt;""),(G226-F226)/F226*100,"")</f>
        <v/>
      </c>
    </row>
    <row r="227">
      <c r="H227">
        <f>IF(AND(F227&lt;&gt;"",F227&lt;&gt;0,G227&lt;&gt;""),(G227-F227)/F227*100,"")</f>
        <v/>
      </c>
    </row>
    <row r="228">
      <c r="H228">
        <f>IF(AND(F228&lt;&gt;"",F228&lt;&gt;0,G228&lt;&gt;""),(G228-F228)/F228*100,"")</f>
        <v/>
      </c>
    </row>
    <row r="229">
      <c r="H229">
        <f>IF(AND(F229&lt;&gt;"",F229&lt;&gt;0,G229&lt;&gt;""),(G229-F229)/F229*100,"")</f>
        <v/>
      </c>
    </row>
    <row r="230">
      <c r="H230">
        <f>IF(AND(F230&lt;&gt;"",F230&lt;&gt;0,G230&lt;&gt;""),(G230-F230)/F230*100,"")</f>
        <v/>
      </c>
    </row>
    <row r="231">
      <c r="H231">
        <f>IF(AND(F231&lt;&gt;"",F231&lt;&gt;0,G231&lt;&gt;""),(G231-F231)/F231*100,"")</f>
        <v/>
      </c>
    </row>
    <row r="232">
      <c r="H232">
        <f>IF(AND(F232&lt;&gt;"",F232&lt;&gt;0,G232&lt;&gt;""),(G232-F232)/F232*100,"")</f>
        <v/>
      </c>
    </row>
    <row r="233">
      <c r="H233">
        <f>IF(AND(F233&lt;&gt;"",F233&lt;&gt;0,G233&lt;&gt;""),(G233-F233)/F233*100,"")</f>
        <v/>
      </c>
    </row>
    <row r="234">
      <c r="H234">
        <f>IF(AND(F234&lt;&gt;"",F234&lt;&gt;0,G234&lt;&gt;""),(G234-F234)/F234*100,"")</f>
        <v/>
      </c>
    </row>
    <row r="235">
      <c r="H235">
        <f>IF(AND(F235&lt;&gt;"",F235&lt;&gt;0,G235&lt;&gt;""),(G235-F235)/F235*100,"")</f>
        <v/>
      </c>
    </row>
    <row r="236">
      <c r="H236">
        <f>IF(AND(F236&lt;&gt;"",F236&lt;&gt;0,G236&lt;&gt;""),(G236-F236)/F236*100,"")</f>
        <v/>
      </c>
    </row>
    <row r="237">
      <c r="H237">
        <f>IF(AND(F237&lt;&gt;"",F237&lt;&gt;0,G237&lt;&gt;""),(G237-F237)/F237*100,"")</f>
        <v/>
      </c>
    </row>
    <row r="238">
      <c r="H238">
        <f>IF(AND(F238&lt;&gt;"",F238&lt;&gt;0,G238&lt;&gt;""),(G238-F238)/F238*100,"")</f>
        <v/>
      </c>
    </row>
    <row r="239">
      <c r="H239">
        <f>IF(AND(F239&lt;&gt;"",F239&lt;&gt;0,G239&lt;&gt;""),(G239-F239)/F239*100,"")</f>
        <v/>
      </c>
    </row>
    <row r="240">
      <c r="H240">
        <f>IF(AND(F240&lt;&gt;"",F240&lt;&gt;0,G240&lt;&gt;""),(G240-F240)/F240*100,"")</f>
        <v/>
      </c>
    </row>
    <row r="241">
      <c r="H241">
        <f>IF(AND(F241&lt;&gt;"",F241&lt;&gt;0,G241&lt;&gt;""),(G241-F241)/F241*100,"")</f>
        <v/>
      </c>
    </row>
    <row r="242">
      <c r="H242">
        <f>IF(AND(F242&lt;&gt;"",F242&lt;&gt;0,G242&lt;&gt;""),(G242-F242)/F242*100,"")</f>
        <v/>
      </c>
    </row>
    <row r="243">
      <c r="H243">
        <f>IF(AND(F243&lt;&gt;"",F243&lt;&gt;0,G243&lt;&gt;""),(G243-F243)/F243*100,"")</f>
        <v/>
      </c>
    </row>
    <row r="244">
      <c r="H244">
        <f>IF(AND(F244&lt;&gt;"",F244&lt;&gt;0,G244&lt;&gt;""),(G244-F244)/F244*100,"")</f>
        <v/>
      </c>
    </row>
    <row r="245">
      <c r="H245">
        <f>IF(AND(F245&lt;&gt;"",F245&lt;&gt;0,G245&lt;&gt;""),(G245-F245)/F245*100,"")</f>
        <v/>
      </c>
    </row>
    <row r="246">
      <c r="H246">
        <f>IF(AND(F246&lt;&gt;"",F246&lt;&gt;0,G246&lt;&gt;""),(G246-F246)/F246*100,"")</f>
        <v/>
      </c>
    </row>
    <row r="247">
      <c r="H247">
        <f>IF(AND(F247&lt;&gt;"",F247&lt;&gt;0,G247&lt;&gt;""),(G247-F247)/F247*100,"")</f>
        <v/>
      </c>
    </row>
    <row r="248">
      <c r="H248">
        <f>IF(AND(F248&lt;&gt;"",F248&lt;&gt;0,G248&lt;&gt;""),(G248-F248)/F248*100,"")</f>
        <v/>
      </c>
    </row>
    <row r="249">
      <c r="H249">
        <f>IF(AND(F249&lt;&gt;"",F249&lt;&gt;0,G249&lt;&gt;""),(G249-F249)/F249*100,"")</f>
        <v/>
      </c>
    </row>
    <row r="250">
      <c r="H250">
        <f>IF(AND(F250&lt;&gt;"",F250&lt;&gt;0,G250&lt;&gt;""),(G250-F250)/F250*100,"")</f>
        <v/>
      </c>
    </row>
    <row r="251">
      <c r="H251">
        <f>IF(AND(F251&lt;&gt;"",F251&lt;&gt;0,G251&lt;&gt;""),(G251-F251)/F251*100,"")</f>
        <v/>
      </c>
    </row>
    <row r="252">
      <c r="H252">
        <f>IF(AND(F252&lt;&gt;"",F252&lt;&gt;0,G252&lt;&gt;""),(G252-F252)/F252*100,"")</f>
        <v/>
      </c>
    </row>
    <row r="253">
      <c r="H253">
        <f>IF(AND(F253&lt;&gt;"",F253&lt;&gt;0,G253&lt;&gt;""),(G253-F253)/F253*100,"")</f>
        <v/>
      </c>
    </row>
    <row r="254">
      <c r="H254">
        <f>IF(AND(F254&lt;&gt;"",F254&lt;&gt;0,G254&lt;&gt;""),(G254-F254)/F254*100,"")</f>
        <v/>
      </c>
    </row>
    <row r="255">
      <c r="H255">
        <f>IF(AND(F255&lt;&gt;"",F255&lt;&gt;0,G255&lt;&gt;""),(G255-F255)/F255*100,"")</f>
        <v/>
      </c>
    </row>
    <row r="256">
      <c r="H256">
        <f>IF(AND(F256&lt;&gt;"",F256&lt;&gt;0,G256&lt;&gt;""),(G256-F256)/F256*100,"")</f>
        <v/>
      </c>
    </row>
    <row r="257">
      <c r="H257">
        <f>IF(AND(F257&lt;&gt;"",F257&lt;&gt;0,G257&lt;&gt;""),(G257-F257)/F257*100,"")</f>
        <v/>
      </c>
    </row>
    <row r="258">
      <c r="H258">
        <f>IF(AND(F258&lt;&gt;"",F258&lt;&gt;0,G258&lt;&gt;""),(G258-F258)/F258*100,"")</f>
        <v/>
      </c>
    </row>
    <row r="259">
      <c r="H259">
        <f>IF(AND(F259&lt;&gt;"",F259&lt;&gt;0,G259&lt;&gt;""),(G259-F259)/F259*100,"")</f>
        <v/>
      </c>
    </row>
    <row r="260">
      <c r="H260">
        <f>IF(AND(F260&lt;&gt;"",F260&lt;&gt;0,G260&lt;&gt;""),(G260-F260)/F260*100,"")</f>
        <v/>
      </c>
    </row>
    <row r="261">
      <c r="H261">
        <f>IF(AND(F261&lt;&gt;"",F261&lt;&gt;0,G261&lt;&gt;""),(G261-F261)/F261*100,"")</f>
        <v/>
      </c>
    </row>
    <row r="262">
      <c r="H262">
        <f>IF(AND(F262&lt;&gt;"",F262&lt;&gt;0,G262&lt;&gt;""),(G262-F262)/F262*100,"")</f>
        <v/>
      </c>
    </row>
    <row r="263">
      <c r="H263">
        <f>IF(AND(F263&lt;&gt;"",F263&lt;&gt;0,G263&lt;&gt;""),(G263-F263)/F263*100,"")</f>
        <v/>
      </c>
    </row>
    <row r="264">
      <c r="H264">
        <f>IF(AND(F264&lt;&gt;"",F264&lt;&gt;0,G264&lt;&gt;""),(G264-F264)/F264*100,"")</f>
        <v/>
      </c>
    </row>
    <row r="265">
      <c r="H265">
        <f>IF(AND(F265&lt;&gt;"",F265&lt;&gt;0,G265&lt;&gt;""),(G265-F265)/F265*100,"")</f>
        <v/>
      </c>
    </row>
    <row r="266">
      <c r="H266">
        <f>IF(AND(F266&lt;&gt;"",F266&lt;&gt;0,G266&lt;&gt;""),(G266-F266)/F266*100,"")</f>
        <v/>
      </c>
    </row>
    <row r="267">
      <c r="H267">
        <f>IF(AND(F267&lt;&gt;"",F267&lt;&gt;0,G267&lt;&gt;""),(G267-F267)/F267*100,"")</f>
        <v/>
      </c>
    </row>
    <row r="268">
      <c r="H268">
        <f>IF(AND(F268&lt;&gt;"",F268&lt;&gt;0,G268&lt;&gt;""),(G268-F268)/F268*100,"")</f>
        <v/>
      </c>
    </row>
    <row r="269">
      <c r="H269">
        <f>IF(AND(F269&lt;&gt;"",F269&lt;&gt;0,G269&lt;&gt;""),(G269-F269)/F269*100,"")</f>
        <v/>
      </c>
    </row>
    <row r="270">
      <c r="H270">
        <f>IF(AND(F270&lt;&gt;"",F270&lt;&gt;0,G270&lt;&gt;""),(G270-F270)/F270*100,"")</f>
        <v/>
      </c>
    </row>
    <row r="271">
      <c r="H271">
        <f>IF(AND(F271&lt;&gt;"",F271&lt;&gt;0,G271&lt;&gt;""),(G271-F271)/F271*100,"")</f>
        <v/>
      </c>
    </row>
    <row r="272">
      <c r="H272">
        <f>IF(AND(F272&lt;&gt;"",F272&lt;&gt;0,G272&lt;&gt;""),(G272-F272)/F272*100,"")</f>
        <v/>
      </c>
    </row>
    <row r="273">
      <c r="H273">
        <f>IF(AND(F273&lt;&gt;"",F273&lt;&gt;0,G273&lt;&gt;""),(G273-F273)/F273*100,"")</f>
        <v/>
      </c>
    </row>
    <row r="274">
      <c r="H274">
        <f>IF(AND(F274&lt;&gt;"",F274&lt;&gt;0,G274&lt;&gt;""),(G274-F274)/F274*100,"")</f>
        <v/>
      </c>
    </row>
    <row r="275">
      <c r="H275">
        <f>IF(AND(F275&lt;&gt;"",F275&lt;&gt;0,G275&lt;&gt;""),(G275-F275)/F275*100,"")</f>
        <v/>
      </c>
    </row>
    <row r="276">
      <c r="H276">
        <f>IF(AND(F276&lt;&gt;"",F276&lt;&gt;0,G276&lt;&gt;""),(G276-F276)/F276*100,"")</f>
        <v/>
      </c>
    </row>
    <row r="277">
      <c r="H277">
        <f>IF(AND(F277&lt;&gt;"",F277&lt;&gt;0,G277&lt;&gt;""),(G277-F277)/F277*100,"")</f>
        <v/>
      </c>
    </row>
    <row r="278">
      <c r="H278">
        <f>IF(AND(F278&lt;&gt;"",F278&lt;&gt;0,G278&lt;&gt;""),(G278-F278)/F278*100,"")</f>
        <v/>
      </c>
    </row>
    <row r="279">
      <c r="H279">
        <f>IF(AND(F279&lt;&gt;"",F279&lt;&gt;0,G279&lt;&gt;""),(G279-F279)/F279*100,"")</f>
        <v/>
      </c>
    </row>
    <row r="280">
      <c r="H280">
        <f>IF(AND(F280&lt;&gt;"",F280&lt;&gt;0,G280&lt;&gt;""),(G280-F280)/F280*100,"")</f>
        <v/>
      </c>
    </row>
    <row r="281">
      <c r="H281">
        <f>IF(AND(F281&lt;&gt;"",F281&lt;&gt;0,G281&lt;&gt;""),(G281-F281)/F281*100,"")</f>
        <v/>
      </c>
    </row>
    <row r="282">
      <c r="H282">
        <f>IF(AND(F282&lt;&gt;"",F282&lt;&gt;0,G282&lt;&gt;""),(G282-F282)/F282*100,"")</f>
        <v/>
      </c>
    </row>
    <row r="283">
      <c r="H283">
        <f>IF(AND(F283&lt;&gt;"",F283&lt;&gt;0,G283&lt;&gt;""),(G283-F283)/F283*100,"")</f>
        <v/>
      </c>
    </row>
    <row r="284">
      <c r="H284">
        <f>IF(AND(F284&lt;&gt;"",F284&lt;&gt;0,G284&lt;&gt;""),(G284-F284)/F284*100,"")</f>
        <v/>
      </c>
    </row>
    <row r="285">
      <c r="H285">
        <f>IF(AND(F285&lt;&gt;"",F285&lt;&gt;0,G285&lt;&gt;""),(G285-F285)/F285*100,"")</f>
        <v/>
      </c>
    </row>
    <row r="286">
      <c r="H286">
        <f>IF(AND(F286&lt;&gt;"",F286&lt;&gt;0,G286&lt;&gt;""),(G286-F286)/F286*100,"")</f>
        <v/>
      </c>
    </row>
    <row r="287">
      <c r="H287">
        <f>IF(AND(F287&lt;&gt;"",F287&lt;&gt;0,G287&lt;&gt;""),(G287-F287)/F287*100,"")</f>
        <v/>
      </c>
    </row>
    <row r="288">
      <c r="H288">
        <f>IF(AND(F288&lt;&gt;"",F288&lt;&gt;0,G288&lt;&gt;""),(G288-F288)/F288*100,"")</f>
        <v/>
      </c>
    </row>
    <row r="289">
      <c r="H289">
        <f>IF(AND(F289&lt;&gt;"",F289&lt;&gt;0,G289&lt;&gt;""),(G289-F289)/F289*100,"")</f>
        <v/>
      </c>
    </row>
    <row r="290">
      <c r="H290">
        <f>IF(AND(F290&lt;&gt;"",F290&lt;&gt;0,G290&lt;&gt;""),(G290-F290)/F290*100,"")</f>
        <v/>
      </c>
    </row>
    <row r="291">
      <c r="H291">
        <f>IF(AND(F291&lt;&gt;"",F291&lt;&gt;0,G291&lt;&gt;""),(G291-F291)/F291*100,"")</f>
        <v/>
      </c>
    </row>
    <row r="292">
      <c r="H292">
        <f>IF(AND(F292&lt;&gt;"",F292&lt;&gt;0,G292&lt;&gt;""),(G292-F292)/F292*100,"")</f>
        <v/>
      </c>
    </row>
    <row r="293">
      <c r="H293">
        <f>IF(AND(F293&lt;&gt;"",F293&lt;&gt;0,G293&lt;&gt;""),(G293-F293)/F293*100,"")</f>
        <v/>
      </c>
    </row>
    <row r="294">
      <c r="H294">
        <f>IF(AND(F294&lt;&gt;"",F294&lt;&gt;0,G294&lt;&gt;""),(G294-F294)/F294*100,"")</f>
        <v/>
      </c>
    </row>
    <row r="295">
      <c r="H295">
        <f>IF(AND(F295&lt;&gt;"",F295&lt;&gt;0,G295&lt;&gt;""),(G295-F295)/F295*100,"")</f>
        <v/>
      </c>
    </row>
    <row r="296">
      <c r="H296">
        <f>IF(AND(F296&lt;&gt;"",F296&lt;&gt;0,G296&lt;&gt;""),(G296-F296)/F296*100,"")</f>
        <v/>
      </c>
    </row>
    <row r="297">
      <c r="H297">
        <f>IF(AND(F297&lt;&gt;"",F297&lt;&gt;0,G297&lt;&gt;""),(G297-F297)/F297*100,"")</f>
        <v/>
      </c>
    </row>
    <row r="298">
      <c r="H298">
        <f>IF(AND(F298&lt;&gt;"",F298&lt;&gt;0,G298&lt;&gt;""),(G298-F298)/F298*100,"")</f>
        <v/>
      </c>
    </row>
    <row r="299">
      <c r="H299">
        <f>IF(AND(F299&lt;&gt;"",F299&lt;&gt;0,G299&lt;&gt;""),(G299-F299)/F299*100,"")</f>
        <v/>
      </c>
    </row>
    <row r="300">
      <c r="H300">
        <f>IF(AND(F300&lt;&gt;"",F300&lt;&gt;0,G300&lt;&gt;""),(G300-F300)/F300*100,"")</f>
        <v/>
      </c>
    </row>
    <row r="301">
      <c r="H301">
        <f>IF(AND(F301&lt;&gt;"",F301&lt;&gt;0,G301&lt;&gt;""),(G301-F301)/F301*100,"")</f>
        <v/>
      </c>
    </row>
    <row r="302">
      <c r="H302">
        <f>IF(AND(F302&lt;&gt;"",F302&lt;&gt;0,G302&lt;&gt;""),(G302-F302)/F302*100,"")</f>
        <v/>
      </c>
    </row>
    <row r="303">
      <c r="H303">
        <f>IF(AND(F303&lt;&gt;"",F303&lt;&gt;0,G303&lt;&gt;""),(G303-F303)/F303*100,"")</f>
        <v/>
      </c>
    </row>
    <row r="304">
      <c r="H304">
        <f>IF(AND(F304&lt;&gt;"",F304&lt;&gt;0,G304&lt;&gt;""),(G304-F304)/F304*100,"")</f>
        <v/>
      </c>
    </row>
    <row r="305">
      <c r="H305">
        <f>IF(AND(F305&lt;&gt;"",F305&lt;&gt;0,G305&lt;&gt;""),(G305-F305)/F305*100,"")</f>
        <v/>
      </c>
    </row>
    <row r="306">
      <c r="H306">
        <f>IF(AND(F306&lt;&gt;"",F306&lt;&gt;0,G306&lt;&gt;""),(G306-F306)/F306*100,"")</f>
        <v/>
      </c>
    </row>
    <row r="307">
      <c r="H307">
        <f>IF(AND(F307&lt;&gt;"",F307&lt;&gt;0,G307&lt;&gt;""),(G307-F307)/F307*100,"")</f>
        <v/>
      </c>
    </row>
    <row r="308">
      <c r="H308">
        <f>IF(AND(F308&lt;&gt;"",F308&lt;&gt;0,G308&lt;&gt;""),(G308-F308)/F308*100,"")</f>
        <v/>
      </c>
    </row>
    <row r="309">
      <c r="H309">
        <f>IF(AND(F309&lt;&gt;"",F309&lt;&gt;0,G309&lt;&gt;""),(G309-F309)/F309*100,"")</f>
        <v/>
      </c>
    </row>
    <row r="310">
      <c r="H310">
        <f>IF(AND(F310&lt;&gt;"",F310&lt;&gt;0,G310&lt;&gt;""),(G310-F310)/F310*100,"")</f>
        <v/>
      </c>
    </row>
    <row r="311">
      <c r="H311">
        <f>IF(AND(F311&lt;&gt;"",F311&lt;&gt;0,G311&lt;&gt;""),(G311-F311)/F311*100,"")</f>
        <v/>
      </c>
    </row>
    <row r="312">
      <c r="H312">
        <f>IF(AND(F312&lt;&gt;"",F312&lt;&gt;0,G312&lt;&gt;""),(G312-F312)/F312*100,"")</f>
        <v/>
      </c>
    </row>
    <row r="313">
      <c r="H313">
        <f>IF(AND(F313&lt;&gt;"",F313&lt;&gt;0,G313&lt;&gt;""),(G313-F313)/F313*100,"")</f>
        <v/>
      </c>
    </row>
    <row r="314">
      <c r="H314">
        <f>IF(AND(F314&lt;&gt;"",F314&lt;&gt;0,G314&lt;&gt;""),(G314-F314)/F314*100,"")</f>
        <v/>
      </c>
    </row>
    <row r="315">
      <c r="H315">
        <f>IF(AND(F315&lt;&gt;"",F315&lt;&gt;0,G315&lt;&gt;""),(G315-F315)/F315*100,"")</f>
        <v/>
      </c>
    </row>
    <row r="316">
      <c r="H316">
        <f>IF(AND(F316&lt;&gt;"",F316&lt;&gt;0,G316&lt;&gt;""),(G316-F316)/F316*100,"")</f>
        <v/>
      </c>
    </row>
    <row r="317">
      <c r="H317">
        <f>IF(AND(F317&lt;&gt;"",F317&lt;&gt;0,G317&lt;&gt;""),(G317-F317)/F317*100,"")</f>
        <v/>
      </c>
    </row>
    <row r="318">
      <c r="H318">
        <f>IF(AND(F318&lt;&gt;"",F318&lt;&gt;0,G318&lt;&gt;""),(G318-F318)/F318*100,"")</f>
        <v/>
      </c>
    </row>
    <row r="319">
      <c r="H319">
        <f>IF(AND(F319&lt;&gt;"",F319&lt;&gt;0,G319&lt;&gt;""),(G319-F319)/F319*100,"")</f>
        <v/>
      </c>
    </row>
    <row r="320">
      <c r="H320">
        <f>IF(AND(F320&lt;&gt;"",F320&lt;&gt;0,G320&lt;&gt;""),(G320-F320)/F320*100,"")</f>
        <v/>
      </c>
    </row>
    <row r="321">
      <c r="H321">
        <f>IF(AND(F321&lt;&gt;"",F321&lt;&gt;0,G321&lt;&gt;""),(G321-F321)/F321*100,"")</f>
        <v/>
      </c>
    </row>
    <row r="322">
      <c r="H322">
        <f>IF(AND(F322&lt;&gt;"",F322&lt;&gt;0,G322&lt;&gt;""),(G322-F322)/F322*100,"")</f>
        <v/>
      </c>
    </row>
    <row r="323">
      <c r="H323">
        <f>IF(AND(F323&lt;&gt;"",F323&lt;&gt;0,G323&lt;&gt;""),(G323-F323)/F323*100,"")</f>
        <v/>
      </c>
    </row>
    <row r="324">
      <c r="H324">
        <f>IF(AND(F324&lt;&gt;"",F324&lt;&gt;0,G324&lt;&gt;""),(G324-F324)/F324*100,"")</f>
        <v/>
      </c>
    </row>
    <row r="325">
      <c r="H325">
        <f>IF(AND(F325&lt;&gt;"",F325&lt;&gt;0,G325&lt;&gt;""),(G325-F325)/F325*100,"")</f>
        <v/>
      </c>
    </row>
    <row r="326">
      <c r="H326">
        <f>IF(AND(F326&lt;&gt;"",F326&lt;&gt;0,G326&lt;&gt;""),(G326-F326)/F326*100,"")</f>
        <v/>
      </c>
    </row>
    <row r="327">
      <c r="H327">
        <f>IF(AND(F327&lt;&gt;"",F327&lt;&gt;0,G327&lt;&gt;""),(G327-F327)/F327*100,"")</f>
        <v/>
      </c>
    </row>
    <row r="328">
      <c r="H328">
        <f>IF(AND(F328&lt;&gt;"",F328&lt;&gt;0,G328&lt;&gt;""),(G328-F328)/F328*100,"")</f>
        <v/>
      </c>
    </row>
    <row r="329">
      <c r="H329">
        <f>IF(AND(F329&lt;&gt;"",F329&lt;&gt;0,G329&lt;&gt;""),(G329-F329)/F329*100,"")</f>
        <v/>
      </c>
    </row>
    <row r="330">
      <c r="H330">
        <f>IF(AND(F330&lt;&gt;"",F330&lt;&gt;0,G330&lt;&gt;""),(G330-F330)/F330*100,"")</f>
        <v/>
      </c>
    </row>
    <row r="331">
      <c r="H331">
        <f>IF(AND(F331&lt;&gt;"",F331&lt;&gt;0,G331&lt;&gt;""),(G331-F331)/F331*100,"")</f>
        <v/>
      </c>
    </row>
    <row r="332">
      <c r="H332">
        <f>IF(AND(F332&lt;&gt;"",F332&lt;&gt;0,G332&lt;&gt;""),(G332-F332)/F332*100,"")</f>
        <v/>
      </c>
    </row>
    <row r="333">
      <c r="H333">
        <f>IF(AND(F333&lt;&gt;"",F333&lt;&gt;0,G333&lt;&gt;""),(G333-F333)/F333*100,"")</f>
        <v/>
      </c>
    </row>
    <row r="334">
      <c r="H334">
        <f>IF(AND(F334&lt;&gt;"",F334&lt;&gt;0,G334&lt;&gt;""),(G334-F334)/F334*100,"")</f>
        <v/>
      </c>
    </row>
    <row r="335">
      <c r="H335">
        <f>IF(AND(F335&lt;&gt;"",F335&lt;&gt;0,G335&lt;&gt;""),(G335-F335)/F335*100,"")</f>
        <v/>
      </c>
    </row>
    <row r="336">
      <c r="H336">
        <f>IF(AND(F336&lt;&gt;"",F336&lt;&gt;0,G336&lt;&gt;""),(G336-F336)/F336*100,"")</f>
        <v/>
      </c>
    </row>
    <row r="337">
      <c r="H337">
        <f>IF(AND(F337&lt;&gt;"",F337&lt;&gt;0,G337&lt;&gt;""),(G337-F337)/F337*100,"")</f>
        <v/>
      </c>
    </row>
    <row r="338">
      <c r="H338">
        <f>IF(AND(F338&lt;&gt;"",F338&lt;&gt;0,G338&lt;&gt;""),(G338-F338)/F338*100,"")</f>
        <v/>
      </c>
    </row>
    <row r="339">
      <c r="H339">
        <f>IF(AND(F339&lt;&gt;"",F339&lt;&gt;0,G339&lt;&gt;""),(G339-F339)/F339*100,"")</f>
        <v/>
      </c>
    </row>
    <row r="340">
      <c r="H340">
        <f>IF(AND(F340&lt;&gt;"",F340&lt;&gt;0,G340&lt;&gt;""),(G340-F340)/F340*100,"")</f>
        <v/>
      </c>
    </row>
    <row r="341">
      <c r="H341">
        <f>IF(AND(F341&lt;&gt;"",F341&lt;&gt;0,G341&lt;&gt;""),(G341-F341)/F341*100,"")</f>
        <v/>
      </c>
    </row>
    <row r="342">
      <c r="H342">
        <f>IF(AND(F342&lt;&gt;"",F342&lt;&gt;0,G342&lt;&gt;""),(G342-F342)/F342*100,"")</f>
        <v/>
      </c>
    </row>
    <row r="343">
      <c r="H343">
        <f>IF(AND(F343&lt;&gt;"",F343&lt;&gt;0,G343&lt;&gt;""),(G343-F343)/F343*100,"")</f>
        <v/>
      </c>
    </row>
    <row r="344">
      <c r="H344">
        <f>IF(AND(F344&lt;&gt;"",F344&lt;&gt;0,G344&lt;&gt;""),(G344-F344)/F344*100,"")</f>
        <v/>
      </c>
    </row>
    <row r="345">
      <c r="H345">
        <f>IF(AND(F345&lt;&gt;"",F345&lt;&gt;0,G345&lt;&gt;""),(G345-F345)/F345*100,"")</f>
        <v/>
      </c>
    </row>
    <row r="346">
      <c r="H346">
        <f>IF(AND(F346&lt;&gt;"",F346&lt;&gt;0,G346&lt;&gt;""),(G346-F346)/F346*100,"")</f>
        <v/>
      </c>
    </row>
    <row r="347">
      <c r="H347">
        <f>IF(AND(F347&lt;&gt;"",F347&lt;&gt;0,G347&lt;&gt;""),(G347-F347)/F347*100,"")</f>
        <v/>
      </c>
    </row>
    <row r="348">
      <c r="H348">
        <f>IF(AND(F348&lt;&gt;"",F348&lt;&gt;0,G348&lt;&gt;""),(G348-F348)/F348*100,"")</f>
        <v/>
      </c>
    </row>
    <row r="349">
      <c r="H349">
        <f>IF(AND(F349&lt;&gt;"",F349&lt;&gt;0,G349&lt;&gt;""),(G349-F349)/F349*100,"")</f>
        <v/>
      </c>
    </row>
    <row r="350">
      <c r="H350">
        <f>IF(AND(F350&lt;&gt;"",F350&lt;&gt;0,G350&lt;&gt;""),(G350-F350)/F350*100,"")</f>
        <v/>
      </c>
    </row>
    <row r="351">
      <c r="H351">
        <f>IF(AND(F351&lt;&gt;"",F351&lt;&gt;0,G351&lt;&gt;""),(G351-F351)/F351*100,"")</f>
        <v/>
      </c>
    </row>
    <row r="352">
      <c r="H352">
        <f>IF(AND(F352&lt;&gt;"",F352&lt;&gt;0,G352&lt;&gt;""),(G352-F352)/F352*100,"")</f>
        <v/>
      </c>
    </row>
    <row r="353">
      <c r="H353">
        <f>IF(AND(F353&lt;&gt;"",F353&lt;&gt;0,G353&lt;&gt;""),(G353-F353)/F353*100,"")</f>
        <v/>
      </c>
    </row>
    <row r="354">
      <c r="H354">
        <f>IF(AND(F354&lt;&gt;"",F354&lt;&gt;0,G354&lt;&gt;""),(G354-F354)/F354*100,"")</f>
        <v/>
      </c>
    </row>
    <row r="355">
      <c r="H355">
        <f>IF(AND(F355&lt;&gt;"",F355&lt;&gt;0,G355&lt;&gt;""),(G355-F355)/F355*100,"")</f>
        <v/>
      </c>
    </row>
    <row r="356">
      <c r="H356">
        <f>IF(AND(F356&lt;&gt;"",F356&lt;&gt;0,G356&lt;&gt;""),(G356-F356)/F356*100,"")</f>
        <v/>
      </c>
    </row>
    <row r="357">
      <c r="H357">
        <f>IF(AND(F357&lt;&gt;"",F357&lt;&gt;0,G357&lt;&gt;""),(G357-F357)/F357*100,"")</f>
        <v/>
      </c>
    </row>
    <row r="358">
      <c r="H358">
        <f>IF(AND(F358&lt;&gt;"",F358&lt;&gt;0,G358&lt;&gt;""),(G358-F358)/F358*100,"")</f>
        <v/>
      </c>
    </row>
    <row r="359">
      <c r="H359">
        <f>IF(AND(F359&lt;&gt;"",F359&lt;&gt;0,G359&lt;&gt;""),(G359-F359)/F359*100,"")</f>
        <v/>
      </c>
    </row>
    <row r="360">
      <c r="H360">
        <f>IF(AND(F360&lt;&gt;"",F360&lt;&gt;0,G360&lt;&gt;""),(G360-F360)/F360*100,"")</f>
        <v/>
      </c>
    </row>
    <row r="361">
      <c r="H361">
        <f>IF(AND(F361&lt;&gt;"",F361&lt;&gt;0,G361&lt;&gt;""),(G361-F361)/F361*100,"")</f>
        <v/>
      </c>
    </row>
    <row r="362">
      <c r="H362">
        <f>IF(AND(F362&lt;&gt;"",F362&lt;&gt;0,G362&lt;&gt;""),(G362-F362)/F362*100,"")</f>
        <v/>
      </c>
    </row>
    <row r="363">
      <c r="H363">
        <f>IF(AND(F363&lt;&gt;"",F363&lt;&gt;0,G363&lt;&gt;""),(G363-F363)/F363*100,"")</f>
        <v/>
      </c>
    </row>
    <row r="364">
      <c r="H364">
        <f>IF(AND(F364&lt;&gt;"",F364&lt;&gt;0,G364&lt;&gt;""),(G364-F364)/F364*100,"")</f>
        <v/>
      </c>
    </row>
    <row r="365">
      <c r="H365">
        <f>IF(AND(F365&lt;&gt;"",F365&lt;&gt;0,G365&lt;&gt;""),(G365-F365)/F365*100,"")</f>
        <v/>
      </c>
    </row>
    <row r="366">
      <c r="H366">
        <f>IF(AND(F366&lt;&gt;"",F366&lt;&gt;0,G366&lt;&gt;""),(G366-F366)/F366*100,"")</f>
        <v/>
      </c>
    </row>
    <row r="367">
      <c r="H367">
        <f>IF(AND(F367&lt;&gt;"",F367&lt;&gt;0,G367&lt;&gt;""),(G367-F367)/F367*100,"")</f>
        <v/>
      </c>
    </row>
    <row r="368">
      <c r="H368">
        <f>IF(AND(F368&lt;&gt;"",F368&lt;&gt;0,G368&lt;&gt;""),(G368-F368)/F368*100,"")</f>
        <v/>
      </c>
    </row>
    <row r="369">
      <c r="H369">
        <f>IF(AND(F369&lt;&gt;"",F369&lt;&gt;0,G369&lt;&gt;""),(G369-F369)/F369*100,"")</f>
        <v/>
      </c>
    </row>
    <row r="370">
      <c r="H370">
        <f>IF(AND(F370&lt;&gt;"",F370&lt;&gt;0,G370&lt;&gt;""),(G370-F370)/F370*100,"")</f>
        <v/>
      </c>
    </row>
    <row r="371">
      <c r="H371">
        <f>IF(AND(F371&lt;&gt;"",F371&lt;&gt;0,G371&lt;&gt;""),(G371-F371)/F371*100,"")</f>
        <v/>
      </c>
    </row>
    <row r="372">
      <c r="H372">
        <f>IF(AND(F372&lt;&gt;"",F372&lt;&gt;0,G372&lt;&gt;""),(G372-F372)/F372*100,"")</f>
        <v/>
      </c>
    </row>
    <row r="373">
      <c r="H373">
        <f>IF(AND(F373&lt;&gt;"",F373&lt;&gt;0,G373&lt;&gt;""),(G373-F373)/F373*100,"")</f>
        <v/>
      </c>
    </row>
    <row r="374">
      <c r="H374">
        <f>IF(AND(F374&lt;&gt;"",F374&lt;&gt;0,G374&lt;&gt;""),(G374-F374)/F374*100,"")</f>
        <v/>
      </c>
    </row>
    <row r="375">
      <c r="H375">
        <f>IF(AND(F375&lt;&gt;"",F375&lt;&gt;0,G375&lt;&gt;""),(G375-F375)/F375*100,"")</f>
        <v/>
      </c>
    </row>
    <row r="376">
      <c r="H376">
        <f>IF(AND(F376&lt;&gt;"",F376&lt;&gt;0,G376&lt;&gt;""),(G376-F376)/F376*100,"")</f>
        <v/>
      </c>
    </row>
    <row r="377">
      <c r="H377">
        <f>IF(AND(F377&lt;&gt;"",F377&lt;&gt;0,G377&lt;&gt;""),(G377-F377)/F377*100,"")</f>
        <v/>
      </c>
    </row>
    <row r="378">
      <c r="H378">
        <f>IF(AND(F378&lt;&gt;"",F378&lt;&gt;0,G378&lt;&gt;""),(G378-F378)/F378*100,"")</f>
        <v/>
      </c>
    </row>
    <row r="379">
      <c r="H379">
        <f>IF(AND(F379&lt;&gt;"",F379&lt;&gt;0,G379&lt;&gt;""),(G379-F379)/F379*100,"")</f>
        <v/>
      </c>
    </row>
    <row r="380">
      <c r="H380">
        <f>IF(AND(F380&lt;&gt;"",F380&lt;&gt;0,G380&lt;&gt;""),(G380-F380)/F380*100,"")</f>
        <v/>
      </c>
    </row>
    <row r="381">
      <c r="H381">
        <f>IF(AND(F381&lt;&gt;"",F381&lt;&gt;0,G381&lt;&gt;""),(G381-F381)/F381*100,"")</f>
        <v/>
      </c>
    </row>
    <row r="382">
      <c r="H382">
        <f>IF(AND(F382&lt;&gt;"",F382&lt;&gt;0,G382&lt;&gt;""),(G382-F382)/F382*100,"")</f>
        <v/>
      </c>
    </row>
    <row r="383">
      <c r="H383">
        <f>IF(AND(F383&lt;&gt;"",F383&lt;&gt;0,G383&lt;&gt;""),(G383-F383)/F383*100,"")</f>
        <v/>
      </c>
    </row>
    <row r="384">
      <c r="H384">
        <f>IF(AND(F384&lt;&gt;"",F384&lt;&gt;0,G384&lt;&gt;""),(G384-F384)/F384*100,"")</f>
        <v/>
      </c>
    </row>
    <row r="385">
      <c r="H385">
        <f>IF(AND(F385&lt;&gt;"",F385&lt;&gt;0,G385&lt;&gt;""),(G385-F385)/F385*100,"")</f>
        <v/>
      </c>
    </row>
    <row r="386">
      <c r="H386">
        <f>IF(AND(F386&lt;&gt;"",F386&lt;&gt;0,G386&lt;&gt;""),(G386-F386)/F386*100,"")</f>
        <v/>
      </c>
    </row>
    <row r="387">
      <c r="H387">
        <f>IF(AND(F387&lt;&gt;"",F387&lt;&gt;0,G387&lt;&gt;""),(G387-F387)/F387*100,"")</f>
        <v/>
      </c>
    </row>
    <row r="388">
      <c r="H388">
        <f>IF(AND(F388&lt;&gt;"",F388&lt;&gt;0,G388&lt;&gt;""),(G388-F388)/F388*100,"")</f>
        <v/>
      </c>
    </row>
    <row r="389">
      <c r="H389">
        <f>IF(AND(F389&lt;&gt;"",F389&lt;&gt;0,G389&lt;&gt;""),(G389-F389)/F389*100,"")</f>
        <v/>
      </c>
    </row>
    <row r="390">
      <c r="H390">
        <f>IF(AND(F390&lt;&gt;"",F390&lt;&gt;0,G390&lt;&gt;""),(G390-F390)/F390*100,"")</f>
        <v/>
      </c>
    </row>
    <row r="391">
      <c r="H391">
        <f>IF(AND(F391&lt;&gt;"",F391&lt;&gt;0,G391&lt;&gt;""),(G391-F391)/F391*100,"")</f>
        <v/>
      </c>
    </row>
    <row r="392">
      <c r="H392">
        <f>IF(AND(F392&lt;&gt;"",F392&lt;&gt;0,G392&lt;&gt;""),(G392-F392)/F392*100,"")</f>
        <v/>
      </c>
    </row>
    <row r="393">
      <c r="H393">
        <f>IF(AND(F393&lt;&gt;"",F393&lt;&gt;0,G393&lt;&gt;""),(G393-F393)/F393*100,"")</f>
        <v/>
      </c>
    </row>
    <row r="394">
      <c r="H394">
        <f>IF(AND(F394&lt;&gt;"",F394&lt;&gt;0,G394&lt;&gt;""),(G394-F394)/F394*100,"")</f>
        <v/>
      </c>
    </row>
    <row r="395">
      <c r="H395">
        <f>IF(AND(F395&lt;&gt;"",F395&lt;&gt;0,G395&lt;&gt;""),(G395-F395)/F395*100,"")</f>
        <v/>
      </c>
    </row>
    <row r="396">
      <c r="H396">
        <f>IF(AND(F396&lt;&gt;"",F396&lt;&gt;0,G396&lt;&gt;""),(G396-F396)/F396*100,"")</f>
        <v/>
      </c>
    </row>
    <row r="397">
      <c r="H397">
        <f>IF(AND(F397&lt;&gt;"",F397&lt;&gt;0,G397&lt;&gt;""),(G397-F397)/F397*100,"")</f>
        <v/>
      </c>
    </row>
    <row r="398">
      <c r="H398">
        <f>IF(AND(F398&lt;&gt;"",F398&lt;&gt;0,G398&lt;&gt;""),(G398-F398)/F398*100,"")</f>
        <v/>
      </c>
    </row>
    <row r="399">
      <c r="H399">
        <f>IF(AND(F399&lt;&gt;"",F399&lt;&gt;0,G399&lt;&gt;""),(G399-F399)/F399*100,"")</f>
        <v/>
      </c>
    </row>
    <row r="400">
      <c r="H400">
        <f>IF(AND(F400&lt;&gt;"",F400&lt;&gt;0,G400&lt;&gt;""),(G400-F400)/F400*100,"")</f>
        <v/>
      </c>
    </row>
    <row r="401">
      <c r="H401">
        <f>IF(AND(F401&lt;&gt;"",F401&lt;&gt;0,G401&lt;&gt;""),(G401-F401)/F401*100,"")</f>
        <v/>
      </c>
    </row>
    <row r="402">
      <c r="H402">
        <f>IF(AND(F402&lt;&gt;"",F402&lt;&gt;0,G402&lt;&gt;""),(G402-F402)/F402*100,"")</f>
        <v/>
      </c>
    </row>
    <row r="403">
      <c r="H403">
        <f>IF(AND(F403&lt;&gt;"",F403&lt;&gt;0,G403&lt;&gt;""),(G403-F403)/F403*100,"")</f>
        <v/>
      </c>
    </row>
    <row r="404">
      <c r="H404">
        <f>IF(AND(F404&lt;&gt;"",F404&lt;&gt;0,G404&lt;&gt;""),(G404-F404)/F404*100,"")</f>
        <v/>
      </c>
    </row>
    <row r="405">
      <c r="H405">
        <f>IF(AND(F405&lt;&gt;"",F405&lt;&gt;0,G405&lt;&gt;""),(G405-F405)/F405*100,"")</f>
        <v/>
      </c>
    </row>
    <row r="406">
      <c r="H406">
        <f>IF(AND(F406&lt;&gt;"",F406&lt;&gt;0,G406&lt;&gt;""),(G406-F406)/F406*100,"")</f>
        <v/>
      </c>
    </row>
    <row r="407">
      <c r="H407">
        <f>IF(AND(F407&lt;&gt;"",F407&lt;&gt;0,G407&lt;&gt;""),(G407-F407)/F407*100,"")</f>
        <v/>
      </c>
    </row>
    <row r="408">
      <c r="H408">
        <f>IF(AND(F408&lt;&gt;"",F408&lt;&gt;0,G408&lt;&gt;""),(G408-F408)/F408*100,"")</f>
        <v/>
      </c>
    </row>
    <row r="409">
      <c r="H409">
        <f>IF(AND(F409&lt;&gt;"",F409&lt;&gt;0,G409&lt;&gt;""),(G409-F409)/F409*100,"")</f>
        <v/>
      </c>
    </row>
    <row r="410">
      <c r="H410">
        <f>IF(AND(F410&lt;&gt;"",F410&lt;&gt;0,G410&lt;&gt;""),(G410-F410)/F410*100,"")</f>
        <v/>
      </c>
    </row>
    <row r="411">
      <c r="H411">
        <f>IF(AND(F411&lt;&gt;"",F411&lt;&gt;0,G411&lt;&gt;""),(G411-F411)/F411*100,"")</f>
        <v/>
      </c>
    </row>
    <row r="412">
      <c r="H412">
        <f>IF(AND(F412&lt;&gt;"",F412&lt;&gt;0,G412&lt;&gt;""),(G412-F412)/F412*100,"")</f>
        <v/>
      </c>
    </row>
    <row r="413">
      <c r="H413">
        <f>IF(AND(F413&lt;&gt;"",F413&lt;&gt;0,G413&lt;&gt;""),(G413-F413)/F413*100,"")</f>
        <v/>
      </c>
    </row>
    <row r="414">
      <c r="H414">
        <f>IF(AND(F414&lt;&gt;"",F414&lt;&gt;0,G414&lt;&gt;""),(G414-F414)/F414*100,"")</f>
        <v/>
      </c>
    </row>
    <row r="415">
      <c r="H415">
        <f>IF(AND(F415&lt;&gt;"",F415&lt;&gt;0,G415&lt;&gt;""),(G415-F415)/F415*100,"")</f>
        <v/>
      </c>
    </row>
    <row r="416">
      <c r="H416">
        <f>IF(AND(F416&lt;&gt;"",F416&lt;&gt;0,G416&lt;&gt;""),(G416-F416)/F416*100,"")</f>
        <v/>
      </c>
    </row>
    <row r="417">
      <c r="H417">
        <f>IF(AND(F417&lt;&gt;"",F417&lt;&gt;0,G417&lt;&gt;""),(G417-F417)/F417*100,"")</f>
        <v/>
      </c>
    </row>
    <row r="418">
      <c r="H418">
        <f>IF(AND(F418&lt;&gt;"",F418&lt;&gt;0,G418&lt;&gt;""),(G418-F418)/F418*100,"")</f>
        <v/>
      </c>
    </row>
    <row r="419">
      <c r="H419">
        <f>IF(AND(F419&lt;&gt;"",F419&lt;&gt;0,G419&lt;&gt;""),(G419-F419)/F419*100,"")</f>
        <v/>
      </c>
    </row>
    <row r="420">
      <c r="H420">
        <f>IF(AND(F420&lt;&gt;"",F420&lt;&gt;0,G420&lt;&gt;""),(G420-F420)/F420*100,"")</f>
        <v/>
      </c>
    </row>
    <row r="421">
      <c r="H421">
        <f>IF(AND(F421&lt;&gt;"",F421&lt;&gt;0,G421&lt;&gt;""),(G421-F421)/F421*100,"")</f>
        <v/>
      </c>
    </row>
    <row r="422">
      <c r="H422">
        <f>IF(AND(F422&lt;&gt;"",F422&lt;&gt;0,G422&lt;&gt;""),(G422-F422)/F422*100,"")</f>
        <v/>
      </c>
    </row>
    <row r="423">
      <c r="H423">
        <f>IF(AND(F423&lt;&gt;"",F423&lt;&gt;0,G423&lt;&gt;""),(G423-F423)/F423*100,"")</f>
        <v/>
      </c>
    </row>
    <row r="424">
      <c r="H424">
        <f>IF(AND(F424&lt;&gt;"",F424&lt;&gt;0,G424&lt;&gt;""),(G424-F424)/F424*100,"")</f>
        <v/>
      </c>
    </row>
    <row r="425">
      <c r="H425">
        <f>IF(AND(F425&lt;&gt;"",F425&lt;&gt;0,G425&lt;&gt;""),(G425-F425)/F425*100,"")</f>
        <v/>
      </c>
    </row>
    <row r="426">
      <c r="H426">
        <f>IF(AND(F426&lt;&gt;"",F426&lt;&gt;0,G426&lt;&gt;""),(G426-F426)/F426*100,"")</f>
        <v/>
      </c>
    </row>
    <row r="427">
      <c r="H427">
        <f>IF(AND(F427&lt;&gt;"",F427&lt;&gt;0,G427&lt;&gt;""),(G427-F427)/F427*100,"")</f>
        <v/>
      </c>
    </row>
    <row r="428">
      <c r="H428">
        <f>IF(AND(F428&lt;&gt;"",F428&lt;&gt;0,G428&lt;&gt;""),(G428-F428)/F428*100,"")</f>
        <v/>
      </c>
    </row>
    <row r="429">
      <c r="H429">
        <f>IF(AND(F429&lt;&gt;"",F429&lt;&gt;0,G429&lt;&gt;""),(G429-F429)/F429*100,"")</f>
        <v/>
      </c>
    </row>
    <row r="430">
      <c r="H430">
        <f>IF(AND(F430&lt;&gt;"",F430&lt;&gt;0,G430&lt;&gt;""),(G430-F430)/F430*100,"")</f>
        <v/>
      </c>
    </row>
    <row r="431">
      <c r="H431">
        <f>IF(AND(F431&lt;&gt;"",F431&lt;&gt;0,G431&lt;&gt;""),(G431-F431)/F431*100,"")</f>
        <v/>
      </c>
    </row>
    <row r="432">
      <c r="H432">
        <f>IF(AND(F432&lt;&gt;"",F432&lt;&gt;0,G432&lt;&gt;""),(G432-F432)/F432*100,"")</f>
        <v/>
      </c>
    </row>
    <row r="433">
      <c r="H433">
        <f>IF(AND(F433&lt;&gt;"",F433&lt;&gt;0,G433&lt;&gt;""),(G433-F433)/F433*100,"")</f>
        <v/>
      </c>
    </row>
    <row r="434">
      <c r="H434">
        <f>IF(AND(F434&lt;&gt;"",F434&lt;&gt;0,G434&lt;&gt;""),(G434-F434)/F434*100,"")</f>
        <v/>
      </c>
    </row>
    <row r="435">
      <c r="H435">
        <f>IF(AND(F435&lt;&gt;"",F435&lt;&gt;0,G435&lt;&gt;""),(G435-F435)/F435*100,"")</f>
        <v/>
      </c>
    </row>
    <row r="436">
      <c r="H436">
        <f>IF(AND(F436&lt;&gt;"",F436&lt;&gt;0,G436&lt;&gt;""),(G436-F436)/F436*100,"")</f>
        <v/>
      </c>
    </row>
    <row r="437">
      <c r="H437">
        <f>IF(AND(F437&lt;&gt;"",F437&lt;&gt;0,G437&lt;&gt;""),(G437-F437)/F437*100,"")</f>
        <v/>
      </c>
    </row>
    <row r="438">
      <c r="H438">
        <f>IF(AND(F438&lt;&gt;"",F438&lt;&gt;0,G438&lt;&gt;""),(G438-F438)/F438*100,"")</f>
        <v/>
      </c>
    </row>
    <row r="439">
      <c r="H439">
        <f>IF(AND(F439&lt;&gt;"",F439&lt;&gt;0,G439&lt;&gt;""),(G439-F439)/F439*100,"")</f>
        <v/>
      </c>
    </row>
    <row r="440">
      <c r="H440">
        <f>IF(AND(F440&lt;&gt;"",F440&lt;&gt;0,G440&lt;&gt;""),(G440-F440)/F440*100,"")</f>
        <v/>
      </c>
    </row>
    <row r="441">
      <c r="H441">
        <f>IF(AND(F441&lt;&gt;"",F441&lt;&gt;0,G441&lt;&gt;""),(G441-F441)/F441*100,"")</f>
        <v/>
      </c>
    </row>
    <row r="442">
      <c r="H442">
        <f>IF(AND(F442&lt;&gt;"",F442&lt;&gt;0,G442&lt;&gt;""),(G442-F442)/F442*100,"")</f>
        <v/>
      </c>
    </row>
    <row r="443">
      <c r="H443">
        <f>IF(AND(F443&lt;&gt;"",F443&lt;&gt;0,G443&lt;&gt;""),(G443-F443)/F443*100,"")</f>
        <v/>
      </c>
    </row>
    <row r="444">
      <c r="H444">
        <f>IF(AND(F444&lt;&gt;"",F444&lt;&gt;0,G444&lt;&gt;""),(G444-F444)/F444*100,"")</f>
        <v/>
      </c>
    </row>
    <row r="445">
      <c r="H445">
        <f>IF(AND(F445&lt;&gt;"",F445&lt;&gt;0,G445&lt;&gt;""),(G445-F445)/F445*100,"")</f>
        <v/>
      </c>
    </row>
    <row r="446">
      <c r="H446">
        <f>IF(AND(F446&lt;&gt;"",F446&lt;&gt;0,G446&lt;&gt;""),(G446-F446)/F446*100,"")</f>
        <v/>
      </c>
    </row>
    <row r="447">
      <c r="H447">
        <f>IF(AND(F447&lt;&gt;"",F447&lt;&gt;0,G447&lt;&gt;""),(G447-F447)/F447*100,"")</f>
        <v/>
      </c>
    </row>
    <row r="448">
      <c r="H448">
        <f>IF(AND(F448&lt;&gt;"",F448&lt;&gt;0,G448&lt;&gt;""),(G448-F448)/F448*100,"")</f>
        <v/>
      </c>
    </row>
    <row r="449">
      <c r="H449">
        <f>IF(AND(F449&lt;&gt;"",F449&lt;&gt;0,G449&lt;&gt;""),(G449-F449)/F449*100,"")</f>
        <v/>
      </c>
    </row>
    <row r="450">
      <c r="H450">
        <f>IF(AND(F450&lt;&gt;"",F450&lt;&gt;0,G450&lt;&gt;""),(G450-F450)/F450*100,"")</f>
        <v/>
      </c>
    </row>
    <row r="451">
      <c r="H451">
        <f>IF(AND(F451&lt;&gt;"",F451&lt;&gt;0,G451&lt;&gt;""),(G451-F451)/F451*100,"")</f>
        <v/>
      </c>
    </row>
    <row r="452">
      <c r="H452">
        <f>IF(AND(F452&lt;&gt;"",F452&lt;&gt;0,G452&lt;&gt;""),(G452-F452)/F452*100,"")</f>
        <v/>
      </c>
    </row>
    <row r="453">
      <c r="H453">
        <f>IF(AND(F453&lt;&gt;"",F453&lt;&gt;0,G453&lt;&gt;""),(G453-F453)/F453*100,"")</f>
        <v/>
      </c>
    </row>
    <row r="454">
      <c r="H454">
        <f>IF(AND(F454&lt;&gt;"",F454&lt;&gt;0,G454&lt;&gt;""),(G454-F454)/F454*100,"")</f>
        <v/>
      </c>
    </row>
    <row r="455">
      <c r="H455">
        <f>IF(AND(F455&lt;&gt;"",F455&lt;&gt;0,G455&lt;&gt;""),(G455-F455)/F455*100,"")</f>
        <v/>
      </c>
    </row>
    <row r="456">
      <c r="H456">
        <f>IF(AND(F456&lt;&gt;"",F456&lt;&gt;0,G456&lt;&gt;""),(G456-F456)/F456*100,"")</f>
        <v/>
      </c>
    </row>
    <row r="457">
      <c r="H457">
        <f>IF(AND(F457&lt;&gt;"",F457&lt;&gt;0,G457&lt;&gt;""),(G457-F457)/F457*100,"")</f>
        <v/>
      </c>
    </row>
    <row r="458">
      <c r="H458">
        <f>IF(AND(F458&lt;&gt;"",F458&lt;&gt;0,G458&lt;&gt;""),(G458-F458)/F458*100,"")</f>
        <v/>
      </c>
    </row>
    <row r="459">
      <c r="H459">
        <f>IF(AND(F459&lt;&gt;"",F459&lt;&gt;0,G459&lt;&gt;""),(G459-F459)/F459*100,"")</f>
        <v/>
      </c>
    </row>
    <row r="460">
      <c r="H460">
        <f>IF(AND(F460&lt;&gt;"",F460&lt;&gt;0,G460&lt;&gt;""),(G460-F460)/F460*100,"")</f>
        <v/>
      </c>
    </row>
    <row r="461">
      <c r="H461">
        <f>IF(AND(F461&lt;&gt;"",F461&lt;&gt;0,G461&lt;&gt;""),(G461-F461)/F461*100,"")</f>
        <v/>
      </c>
    </row>
    <row r="462">
      <c r="H462">
        <f>IF(AND(F462&lt;&gt;"",F462&lt;&gt;0,G462&lt;&gt;""),(G462-F462)/F462*100,"")</f>
        <v/>
      </c>
    </row>
    <row r="463">
      <c r="H463">
        <f>IF(AND(F463&lt;&gt;"",F463&lt;&gt;0,G463&lt;&gt;""),(G463-F463)/F463*100,"")</f>
        <v/>
      </c>
    </row>
    <row r="464">
      <c r="H464">
        <f>IF(AND(F464&lt;&gt;"",F464&lt;&gt;0,G464&lt;&gt;""),(G464-F464)/F464*100,"")</f>
        <v/>
      </c>
    </row>
    <row r="465">
      <c r="H465">
        <f>IF(AND(F465&lt;&gt;"",F465&lt;&gt;0,G465&lt;&gt;""),(G465-F465)/F465*100,"")</f>
        <v/>
      </c>
    </row>
    <row r="466">
      <c r="H466">
        <f>IF(AND(F466&lt;&gt;"",F466&lt;&gt;0,G466&lt;&gt;""),(G466-F466)/F466*100,"")</f>
        <v/>
      </c>
    </row>
    <row r="467">
      <c r="H467">
        <f>IF(AND(F467&lt;&gt;"",F467&lt;&gt;0,G467&lt;&gt;""),(G467-F467)/F467*100,"")</f>
        <v/>
      </c>
    </row>
    <row r="468">
      <c r="H468">
        <f>IF(AND(F468&lt;&gt;"",F468&lt;&gt;0,G468&lt;&gt;""),(G468-F468)/F468*100,"")</f>
        <v/>
      </c>
    </row>
    <row r="469">
      <c r="H469">
        <f>IF(AND(F469&lt;&gt;"",F469&lt;&gt;0,G469&lt;&gt;""),(G469-F469)/F469*100,"")</f>
        <v/>
      </c>
    </row>
    <row r="470">
      <c r="H470">
        <f>IF(AND(F470&lt;&gt;"",F470&lt;&gt;0,G470&lt;&gt;""),(G470-F470)/F470*100,"")</f>
        <v/>
      </c>
    </row>
    <row r="471">
      <c r="H471">
        <f>IF(AND(F471&lt;&gt;"",F471&lt;&gt;0,G471&lt;&gt;""),(G471-F471)/F471*100,"")</f>
        <v/>
      </c>
    </row>
    <row r="472">
      <c r="H472">
        <f>IF(AND(F472&lt;&gt;"",F472&lt;&gt;0,G472&lt;&gt;""),(G472-F472)/F472*100,"")</f>
        <v/>
      </c>
    </row>
    <row r="473">
      <c r="H473">
        <f>IF(AND(F473&lt;&gt;"",F473&lt;&gt;0,G473&lt;&gt;""),(G473-F473)/F473*100,"")</f>
        <v/>
      </c>
    </row>
    <row r="474">
      <c r="H474">
        <f>IF(AND(F474&lt;&gt;"",F474&lt;&gt;0,G474&lt;&gt;""),(G474-F474)/F474*100,"")</f>
        <v/>
      </c>
    </row>
    <row r="475">
      <c r="H475">
        <f>IF(AND(F475&lt;&gt;"",F475&lt;&gt;0,G475&lt;&gt;""),(G475-F475)/F475*100,"")</f>
        <v/>
      </c>
    </row>
    <row r="476">
      <c r="H476">
        <f>IF(AND(F476&lt;&gt;"",F476&lt;&gt;0,G476&lt;&gt;""),(G476-F476)/F476*100,"")</f>
        <v/>
      </c>
    </row>
    <row r="477">
      <c r="H477">
        <f>IF(AND(F477&lt;&gt;"",F477&lt;&gt;0,G477&lt;&gt;""),(G477-F477)/F477*100,"")</f>
        <v/>
      </c>
    </row>
    <row r="478">
      <c r="H478">
        <f>IF(AND(F478&lt;&gt;"",F478&lt;&gt;0,G478&lt;&gt;""),(G478-F478)/F478*100,"")</f>
        <v/>
      </c>
    </row>
    <row r="479">
      <c r="H479">
        <f>IF(AND(F479&lt;&gt;"",F479&lt;&gt;0,G479&lt;&gt;""),(G479-F479)/F479*100,"")</f>
        <v/>
      </c>
    </row>
    <row r="480">
      <c r="H480">
        <f>IF(AND(F480&lt;&gt;"",F480&lt;&gt;0,G480&lt;&gt;""),(G480-F480)/F480*100,"")</f>
        <v/>
      </c>
    </row>
    <row r="481">
      <c r="H481">
        <f>IF(AND(F481&lt;&gt;"",F481&lt;&gt;0,G481&lt;&gt;""),(G481-F481)/F481*100,"")</f>
        <v/>
      </c>
    </row>
    <row r="482">
      <c r="H482">
        <f>IF(AND(F482&lt;&gt;"",F482&lt;&gt;0,G482&lt;&gt;""),(G482-F482)/F482*100,"")</f>
        <v/>
      </c>
    </row>
    <row r="483">
      <c r="H483">
        <f>IF(AND(F483&lt;&gt;"",F483&lt;&gt;0,G483&lt;&gt;""),(G483-F483)/F483*100,"")</f>
        <v/>
      </c>
    </row>
    <row r="484">
      <c r="H484">
        <f>IF(AND(F484&lt;&gt;"",F484&lt;&gt;0,G484&lt;&gt;""),(G484-F484)/F484*100,"")</f>
        <v/>
      </c>
    </row>
    <row r="485">
      <c r="H485">
        <f>IF(AND(F485&lt;&gt;"",F485&lt;&gt;0,G485&lt;&gt;""),(G485-F485)/F485*100,"")</f>
        <v/>
      </c>
    </row>
    <row r="486">
      <c r="H486">
        <f>IF(AND(F486&lt;&gt;"",F486&lt;&gt;0,G486&lt;&gt;""),(G486-F486)/F486*100,"")</f>
        <v/>
      </c>
    </row>
    <row r="487">
      <c r="H487">
        <f>IF(AND(F487&lt;&gt;"",F487&lt;&gt;0,G487&lt;&gt;""),(G487-F487)/F487*100,"")</f>
        <v/>
      </c>
    </row>
    <row r="488">
      <c r="H488">
        <f>IF(AND(F488&lt;&gt;"",F488&lt;&gt;0,G488&lt;&gt;""),(G488-F488)/F488*100,"")</f>
        <v/>
      </c>
    </row>
    <row r="489">
      <c r="H489">
        <f>IF(AND(F489&lt;&gt;"",F489&lt;&gt;0,G489&lt;&gt;""),(G489-F489)/F489*100,"")</f>
        <v/>
      </c>
    </row>
    <row r="490">
      <c r="H490">
        <f>IF(AND(F490&lt;&gt;"",F490&lt;&gt;0,G490&lt;&gt;""),(G490-F490)/F490*100,"")</f>
        <v/>
      </c>
    </row>
    <row r="491">
      <c r="H491">
        <f>IF(AND(F491&lt;&gt;"",F491&lt;&gt;0,G491&lt;&gt;""),(G491-F491)/F491*100,"")</f>
        <v/>
      </c>
    </row>
    <row r="492">
      <c r="H492">
        <f>IF(AND(F492&lt;&gt;"",F492&lt;&gt;0,G492&lt;&gt;""),(G492-F492)/F492*100,"")</f>
        <v/>
      </c>
    </row>
    <row r="493">
      <c r="H493">
        <f>IF(AND(F493&lt;&gt;"",F493&lt;&gt;0,G493&lt;&gt;""),(G493-F493)/F493*100,"")</f>
        <v/>
      </c>
    </row>
    <row r="494">
      <c r="H494">
        <f>IF(AND(F494&lt;&gt;"",F494&lt;&gt;0,G494&lt;&gt;""),(G494-F494)/F494*100,"")</f>
        <v/>
      </c>
    </row>
    <row r="495">
      <c r="H495">
        <f>IF(AND(F495&lt;&gt;"",F495&lt;&gt;0,G495&lt;&gt;""),(G495-F495)/F495*100,"")</f>
        <v/>
      </c>
    </row>
    <row r="496">
      <c r="H496">
        <f>IF(AND(F496&lt;&gt;"",F496&lt;&gt;0,G496&lt;&gt;""),(G496-F496)/F496*100,"")</f>
        <v/>
      </c>
    </row>
    <row r="497">
      <c r="H497">
        <f>IF(AND(F497&lt;&gt;"",F497&lt;&gt;0,G497&lt;&gt;""),(G497-F497)/F497*100,"")</f>
        <v/>
      </c>
    </row>
    <row r="498">
      <c r="H498">
        <f>IF(AND(F498&lt;&gt;"",F498&lt;&gt;0,G498&lt;&gt;""),(G498-F498)/F498*100,"")</f>
        <v/>
      </c>
    </row>
    <row r="499">
      <c r="H499">
        <f>IF(AND(F499&lt;&gt;"",F499&lt;&gt;0,G499&lt;&gt;""),(G499-F499)/F499*100,"")</f>
        <v/>
      </c>
    </row>
    <row r="500">
      <c r="H500">
        <f>IF(AND(F500&lt;&gt;"",F500&lt;&gt;0,G500&lt;&gt;""),(G500-F500)/F500*100,"")</f>
        <v/>
      </c>
    </row>
  </sheetData>
  <autoFilter ref="A1:I1"/>
  <dataValidations count="2">
    <dataValidation sqref="D2:D500" showDropDown="0" showInputMessage="0" showErrorMessage="0" allowBlank="1" type="list">
      <formula1>=Listas!$A$2:$A$9</formula1>
    </dataValidation>
    <dataValidation sqref="E2:E500" showDropDown="0" showInputMessage="0" showErrorMessage="0" allowBlank="1" type="list">
      <formula1>=Listas!$B$2:$B$5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4" customWidth="1" min="4" max="4"/>
    <col width="16" customWidth="1" min="5" max="5"/>
    <col width="14" customWidth="1" min="6" max="6"/>
    <col width="22" customWidth="1" min="8" max="8"/>
    <col width="16" customWidth="1" min="9" max="9"/>
    <col width="14" customWidth="1" min="10" max="10"/>
  </cols>
  <sheetData>
    <row r="1">
      <c r="A1" s="2" t="inlineStr">
        <is>
          <t>Análises de Estimativas de Esforço</t>
        </is>
      </c>
    </row>
    <row r="2">
      <c r="A2" s="3" t="inlineStr">
        <is>
          <t>Indicadores (KPIs)</t>
        </is>
      </c>
      <c r="D2" s="3" t="inlineStr">
        <is>
          <t>Comparação por Técnica</t>
        </is>
      </c>
      <c r="H2" s="3" t="inlineStr">
        <is>
          <t>Comparação por Responsável</t>
        </is>
      </c>
    </row>
    <row r="3">
      <c r="A3" s="4" t="inlineStr">
        <is>
          <t>Total de Estimativas</t>
        </is>
      </c>
      <c r="B3">
        <f>COUNTA(Estimativas!A2:A500)</f>
        <v/>
      </c>
      <c r="D3" s="4" t="inlineStr">
        <is>
          <t>Técnica</t>
        </is>
      </c>
      <c r="E3" s="4" t="inlineStr">
        <is>
          <t>Desvio Médio (%)</t>
        </is>
      </c>
      <c r="F3" s="4" t="inlineStr">
        <is>
          <t>Precisão (%)</t>
        </is>
      </c>
      <c r="H3" s="4" t="inlineStr">
        <is>
          <t>Responsável</t>
        </is>
      </c>
      <c r="I3" s="4" t="inlineStr">
        <is>
          <t>Desvio Médio (%)</t>
        </is>
      </c>
      <c r="J3" s="4" t="inlineStr">
        <is>
          <t>Precisão (%)</t>
        </is>
      </c>
    </row>
    <row r="4">
      <c r="A4" s="4" t="inlineStr">
        <is>
          <t>Desvio Médio (%)</t>
        </is>
      </c>
      <c r="B4">
        <f>IFERROR(AVERAGE(Estimativas!G2:G500),"")</f>
        <v/>
      </c>
      <c r="D4" t="inlineStr">
        <is>
          <t>PSP</t>
        </is>
      </c>
      <c r="E4">
        <f>IFERROR(AVERAGEIF(Estimativas!D2:D500,$D4,Estimativas!G2:G500),"")</f>
        <v/>
      </c>
      <c r="F4">
        <f>IFERROR(100-AVERAGEIF(Estimativas!D2:D500,$D4,Estimativas!M2:M500),"")</f>
        <v/>
      </c>
      <c r="I4">
        <f>IF($H4="","",IFERROR(AVERAGEIF(Estimativas!C2:C500,$H4,Estimativas!G2:G500),""))</f>
        <v/>
      </c>
      <c r="J4">
        <f>IF($H4="","",IFERROR(100-AVERAGEIF(Estimativas!C2:C500,$H4,Estimativas!M2:M500),""))</f>
        <v/>
      </c>
    </row>
    <row r="5">
      <c r="A5" s="4" t="inlineStr">
        <is>
          <t>Precisão da Estimativa (%)</t>
        </is>
      </c>
      <c r="B5">
        <f>IFERROR(100-AVERAGE(Estimativas!M2:M500),"")</f>
        <v/>
      </c>
      <c r="D5" t="inlineStr">
        <is>
          <t>Wideband Delphi</t>
        </is>
      </c>
      <c r="E5">
        <f>IFERROR(AVERAGEIF(Estimativas!D2:D500,$D5,Estimativas!G2:G500),"")</f>
        <v/>
      </c>
      <c r="F5">
        <f>IFERROR(100-AVERAGEIF(Estimativas!D2:D500,$D5,Estimativas!M2:M500),"")</f>
        <v/>
      </c>
      <c r="I5">
        <f>IF($H5="","",IFERROR(AVERAGEIF(Estimativas!C2:C500,$H5,Estimativas!G2:G500),""))</f>
        <v/>
      </c>
      <c r="J5">
        <f>IF($H5="","",IFERROR(100-AVERAGEIF(Estimativas!C2:C500,$H5,Estimativas!M2:M500),""))</f>
        <v/>
      </c>
    </row>
    <row r="6">
      <c r="A6" s="4" t="inlineStr">
        <is>
          <t>Subestimadas (Real &gt; Est.)</t>
        </is>
      </c>
      <c r="B6">
        <f>COUNTIF(Estimativas!G2:G500,"&gt;0")</f>
        <v/>
      </c>
      <c r="D6" t="inlineStr">
        <is>
          <t>Planning Poker</t>
        </is>
      </c>
      <c r="E6">
        <f>IFERROR(AVERAGEIF(Estimativas!D2:D500,$D6,Estimativas!G2:G500),"")</f>
        <v/>
      </c>
      <c r="F6">
        <f>IFERROR(100-AVERAGEIF(Estimativas!D2:D500,$D6,Estimativas!M2:M500),"")</f>
        <v/>
      </c>
      <c r="I6">
        <f>IF($H6="","",IFERROR(AVERAGEIF(Estimativas!C2:C500,$H6,Estimativas!G2:G500),""))</f>
        <v/>
      </c>
      <c r="J6">
        <f>IF($H6="","",IFERROR(100-AVERAGEIF(Estimativas!C2:C500,$H6,Estimativas!M2:M500),""))</f>
        <v/>
      </c>
    </row>
    <row r="7">
      <c r="A7" s="4" t="inlineStr">
        <is>
          <t>Superestimadas (Real &lt; Est.)</t>
        </is>
      </c>
      <c r="B7">
        <f>COUNTIF(Estimativas!G2:G500,"&lt;0")</f>
        <v/>
      </c>
      <c r="D7" t="inlineStr">
        <is>
          <t>Pontos de Função</t>
        </is>
      </c>
      <c r="E7">
        <f>IFERROR(AVERAGEIF(Estimativas!D2:D500,$D7,Estimativas!G2:G500),"")</f>
        <v/>
      </c>
      <c r="F7">
        <f>IFERROR(100-AVERAGEIF(Estimativas!D2:D500,$D7,Estimativas!M2:M500),"")</f>
        <v/>
      </c>
      <c r="I7">
        <f>IF($H7="","",IFERROR(AVERAGEIF(Estimativas!C2:C500,$H7,Estimativas!G2:G500),""))</f>
        <v/>
      </c>
      <c r="J7">
        <f>IF($H7="","",IFERROR(100-AVERAGEIF(Estimativas!C2:C500,$H7,Estimativas!M2:M500),""))</f>
        <v/>
      </c>
    </row>
    <row r="8">
      <c r="D8" t="inlineStr">
        <is>
          <t>Análise Histórica</t>
        </is>
      </c>
      <c r="E8">
        <f>IFERROR(AVERAGEIF(Estimativas!D2:D500,$D8,Estimativas!G2:G500),"")</f>
        <v/>
      </c>
      <c r="F8">
        <f>IFERROR(100-AVERAGEIF(Estimativas!D2:D500,$D8,Estimativas!M2:M500),"")</f>
        <v/>
      </c>
      <c r="I8">
        <f>IF($H8="","",IFERROR(AVERAGEIF(Estimativas!C2:C500,$H8,Estimativas!G2:G500),""))</f>
        <v/>
      </c>
      <c r="J8">
        <f>IF($H8="","",IFERROR(100-AVERAGEIF(Estimativas!C2:C500,$H8,Estimativas!M2:M500),""))</f>
        <v/>
      </c>
    </row>
    <row r="9">
      <c r="A9" s="3" t="inlineStr">
        <is>
          <t>Super / Sub Avaliadas</t>
        </is>
      </c>
      <c r="D9" t="inlineStr">
        <is>
          <t>Estimativa de Três Pontos</t>
        </is>
      </c>
      <c r="E9">
        <f>IFERROR(AVERAGEIF(Estimativas!D2:D500,$D9,Estimativas!G2:G500),"")</f>
        <v/>
      </c>
      <c r="F9">
        <f>IFERROR(100-AVERAGEIF(Estimativas!D2:D500,$D9,Estimativas!M2:M500),"")</f>
        <v/>
      </c>
      <c r="I9">
        <f>IF($H9="","",IFERROR(AVERAGEIF(Estimativas!C2:C500,$H9,Estimativas!G2:G500),""))</f>
        <v/>
      </c>
      <c r="J9">
        <f>IF($H9="","",IFERROR(100-AVERAGEIF(Estimativas!C2:C500,$H9,Estimativas!M2:M500),""))</f>
        <v/>
      </c>
    </row>
    <row r="10">
      <c r="A10" t="inlineStr">
        <is>
          <t>Subestimadas</t>
        </is>
      </c>
      <c r="B10">
        <f>B6</f>
        <v/>
      </c>
      <c r="D10" t="inlineStr">
        <is>
          <t>Opinião Especializada</t>
        </is>
      </c>
      <c r="E10">
        <f>IFERROR(AVERAGEIF(Estimativas!D2:D500,$D10,Estimativas!G2:G500),"")</f>
        <v/>
      </c>
      <c r="F10">
        <f>IFERROR(100-AVERAGEIF(Estimativas!D2:D500,$D10,Estimativas!M2:M500),"")</f>
        <v/>
      </c>
      <c r="I10">
        <f>IF($H10="","",IFERROR(AVERAGEIF(Estimativas!C2:C500,$H10,Estimativas!G2:G500),""))</f>
        <v/>
      </c>
      <c r="J10">
        <f>IF($H10="","",IFERROR(100-AVERAGEIF(Estimativas!C2:C500,$H10,Estimativas!M2:M500),""))</f>
        <v/>
      </c>
    </row>
    <row r="11">
      <c r="A11" t="inlineStr">
        <is>
          <t>Superestimadas</t>
        </is>
      </c>
      <c r="B11">
        <f>B7</f>
        <v/>
      </c>
      <c r="D11" t="inlineStr">
        <is>
          <t>Outra</t>
        </is>
      </c>
      <c r="E11">
        <f>IFERROR(AVERAGEIF(Estimativas!D2:D500,$D11,Estimativas!G2:G500),"")</f>
        <v/>
      </c>
      <c r="F11">
        <f>IFERROR(100-AVERAGEIF(Estimativas!D2:D500,$D11,Estimativas!M2:M500),"")</f>
        <v/>
      </c>
      <c r="I11">
        <f>IF($H11="","",IFERROR(AVERAGEIF(Estimativas!C2:C500,$H11,Estimativas!G2:G500),""))</f>
        <v/>
      </c>
      <c r="J11">
        <f>IF($H11="","",IFERROR(100-AVERAGEIF(Estimativas!C2:C500,$H11,Estimativas!M2:M500),""))</f>
        <v/>
      </c>
    </row>
    <row r="12">
      <c r="I12">
        <f>IF($H12="","",IFERROR(AVERAGEIF(Estimativas!C2:C500,$H12,Estimativas!G2:G500),""))</f>
        <v/>
      </c>
      <c r="J12">
        <f>IF($H12="","",IFERROR(100-AVERAGEIF(Estimativas!C2:C500,$H12,Estimativas!M2:M500),""))</f>
        <v/>
      </c>
    </row>
    <row r="13">
      <c r="I13">
        <f>IF($H13="","",IFERROR(AVERAGEIF(Estimativas!C2:C500,$H13,Estimativas!G2:G500),""))</f>
        <v/>
      </c>
      <c r="J13">
        <f>IF($H13="","",IFERROR(100-AVERAGEIF(Estimativas!C2:C500,$H13,Estimativas!M2:M500),""))</f>
        <v/>
      </c>
    </row>
    <row r="14">
      <c r="A14" s="3" t="inlineStr">
        <is>
          <t>Tendência de Precisão (Mensal)</t>
        </is>
      </c>
    </row>
    <row r="15">
      <c r="A15" s="4" t="inlineStr">
        <is>
          <t>Mês</t>
        </is>
      </c>
      <c r="B15" s="4" t="inlineStr">
        <is>
          <t>Erro Médio (%)</t>
        </is>
      </c>
      <c r="C15" s="4" t="inlineStr">
        <is>
          <t>Precisão (%)</t>
        </is>
      </c>
    </row>
    <row r="16">
      <c r="A16" t="inlineStr">
        <is>
          <t>2026-01</t>
        </is>
      </c>
      <c r="B16">
        <f>IFERROR(AVERAGEIFS(Estimativas!$M$2:$M$500,Estimativas!$H$2:$H$500,"&gt;="&amp;DATE(2026,1,1),Estimativas!$H$2:$H$500,"&lt;="&amp;DATE(2026,1,DAY(EOMONTH(DATE(2026,1,1),0)))),"")</f>
        <v/>
      </c>
      <c r="C16">
        <f>IF(ISNUMBER(B16),100-B16,"")</f>
        <v/>
      </c>
    </row>
    <row r="17">
      <c r="A17" t="inlineStr">
        <is>
          <t>2026-02</t>
        </is>
      </c>
      <c r="B17">
        <f>IFERROR(AVERAGEIFS(Estimativas!$M$2:$M$500,Estimativas!$H$2:$H$500,"&gt;="&amp;DATE(2026,2,1),Estimativas!$H$2:$H$500,"&lt;="&amp;DATE(2026,2,DAY(EOMONTH(DATE(2026,2,1),0)))),"")</f>
        <v/>
      </c>
      <c r="C17">
        <f>IF(ISNUMBER(B17),100-B17,"")</f>
        <v/>
      </c>
    </row>
    <row r="18">
      <c r="A18" t="inlineStr">
        <is>
          <t>2026-03</t>
        </is>
      </c>
      <c r="B18">
        <f>IFERROR(AVERAGEIFS(Estimativas!$M$2:$M$500,Estimativas!$H$2:$H$500,"&gt;="&amp;DATE(2026,3,1),Estimativas!$H$2:$H$500,"&lt;="&amp;DATE(2026,3,DAY(EOMONTH(DATE(2026,3,1),0)))),"")</f>
        <v/>
      </c>
      <c r="C18">
        <f>IF(ISNUMBER(B18),100-B18,"")</f>
        <v/>
      </c>
    </row>
    <row r="19">
      <c r="A19" t="inlineStr">
        <is>
          <t>2026-04</t>
        </is>
      </c>
      <c r="B19">
        <f>IFERROR(AVERAGEIFS(Estimativas!$M$2:$M$500,Estimativas!$H$2:$H$500,"&gt;="&amp;DATE(2026,4,1),Estimativas!$H$2:$H$500,"&lt;="&amp;DATE(2026,4,DAY(EOMONTH(DATE(2026,4,1),0)))),"")</f>
        <v/>
      </c>
      <c r="C19">
        <f>IF(ISNUMBER(B19),100-B19,"")</f>
        <v/>
      </c>
    </row>
    <row r="20">
      <c r="A20" t="inlineStr">
        <is>
          <t>2026-05</t>
        </is>
      </c>
      <c r="B20">
        <f>IFERROR(AVERAGEIFS(Estimativas!$M$2:$M$500,Estimativas!$H$2:$H$500,"&gt;="&amp;DATE(2026,5,1),Estimativas!$H$2:$H$500,"&lt;="&amp;DATE(2026,5,DAY(EOMONTH(DATE(2026,5,1),0)))),"")</f>
        <v/>
      </c>
      <c r="C20">
        <f>IF(ISNUMBER(B20),100-B20,"")</f>
        <v/>
      </c>
    </row>
    <row r="21">
      <c r="A21" t="inlineStr">
        <is>
          <t>2026-06</t>
        </is>
      </c>
      <c r="B21">
        <f>IFERROR(AVERAGEIFS(Estimativas!$M$2:$M$500,Estimativas!$H$2:$H$500,"&gt;="&amp;DATE(2026,6,1),Estimativas!$H$2:$H$500,"&lt;="&amp;DATE(2026,6,DAY(EOMONTH(DATE(2026,6,1),0)))),"")</f>
        <v/>
      </c>
      <c r="C21">
        <f>IF(ISNUMBER(B21),100-B21,"")</f>
        <v/>
      </c>
    </row>
    <row r="22">
      <c r="A22" t="inlineStr">
        <is>
          <t>2026-07</t>
        </is>
      </c>
      <c r="B22">
        <f>IFERROR(AVERAGEIFS(Estimativas!$M$2:$M$500,Estimativas!$H$2:$H$500,"&gt;="&amp;DATE(2026,7,1),Estimativas!$H$2:$H$500,"&lt;="&amp;DATE(2026,7,DAY(EOMONTH(DATE(2026,7,1),0)))),"")</f>
        <v/>
      </c>
      <c r="C22">
        <f>IF(ISNUMBER(B22),100-B22,"")</f>
        <v/>
      </c>
    </row>
    <row r="23">
      <c r="A23" t="inlineStr">
        <is>
          <t>2026-08</t>
        </is>
      </c>
      <c r="B23">
        <f>IFERROR(AVERAGEIFS(Estimativas!$M$2:$M$500,Estimativas!$H$2:$H$500,"&gt;="&amp;DATE(2026,8,1),Estimativas!$H$2:$H$500,"&lt;="&amp;DATE(2026,8,DAY(EOMONTH(DATE(2026,8,1),0)))),"")</f>
        <v/>
      </c>
      <c r="C23">
        <f>IF(ISNUMBER(B23),100-B23,"")</f>
        <v/>
      </c>
    </row>
    <row r="24">
      <c r="A24" t="inlineStr">
        <is>
          <t>2026-09</t>
        </is>
      </c>
      <c r="B24">
        <f>IFERROR(AVERAGEIFS(Estimativas!$M$2:$M$500,Estimativas!$H$2:$H$500,"&gt;="&amp;DATE(2026,9,1),Estimativas!$H$2:$H$500,"&lt;="&amp;DATE(2026,9,DAY(EOMONTH(DATE(2026,9,1),0)))),"")</f>
        <v/>
      </c>
      <c r="C24">
        <f>IF(ISNUMBER(B24),100-B24,"")</f>
        <v/>
      </c>
    </row>
    <row r="25">
      <c r="A25" t="inlineStr">
        <is>
          <t>2026-10</t>
        </is>
      </c>
      <c r="B25">
        <f>IFERROR(AVERAGEIFS(Estimativas!$M$2:$M$500,Estimativas!$H$2:$H$500,"&gt;="&amp;DATE(2026,10,1),Estimativas!$H$2:$H$500,"&lt;="&amp;DATE(2026,10,DAY(EOMONTH(DATE(2026,10,1),0)))),"")</f>
        <v/>
      </c>
      <c r="C25">
        <f>IF(ISNUMBER(B25),100-B25,"")</f>
        <v/>
      </c>
    </row>
    <row r="26">
      <c r="A26" t="inlineStr">
        <is>
          <t>2026-11</t>
        </is>
      </c>
      <c r="B26">
        <f>IFERROR(AVERAGEIFS(Estimativas!$M$2:$M$500,Estimativas!$H$2:$H$500,"&gt;="&amp;DATE(2026,11,1),Estimativas!$H$2:$H$500,"&lt;="&amp;DATE(2026,11,DAY(EOMONTH(DATE(2026,11,1),0)))),"")</f>
        <v/>
      </c>
      <c r="C26">
        <f>IF(ISNUMBER(B26),100-B26,"")</f>
        <v/>
      </c>
    </row>
    <row r="27">
      <c r="A27" t="inlineStr">
        <is>
          <t>2026-12</t>
        </is>
      </c>
      <c r="B27">
        <f>IFERROR(AVERAGEIFS(Estimativas!$M$2:$M$500,Estimativas!$H$2:$H$500,"&gt;="&amp;DATE(2026,12,1),Estimativas!$H$2:$H$500,"&lt;="&amp;DATE(2026,12,DAY(EOMONTH(DATE(2026,12,1),0)))),"")</f>
        <v/>
      </c>
      <c r="C27">
        <f>IF(ISNUMBER(B27),100-B27,"")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5" t="inlineStr">
        <is>
          <t>Painel de Estimativas de Esforço</t>
        </is>
      </c>
    </row>
    <row r="3">
      <c r="A3" s="3" t="inlineStr">
        <is>
          <t>Indicadores (KPIs)</t>
        </is>
      </c>
    </row>
    <row r="4">
      <c r="A4" s="4" t="inlineStr">
        <is>
          <t>Total de Estimativas</t>
        </is>
      </c>
      <c r="B4">
        <f>Analises!B3</f>
        <v/>
      </c>
    </row>
    <row r="5">
      <c r="A5" s="4" t="inlineStr">
        <is>
          <t>Desvio Médio (%)</t>
        </is>
      </c>
      <c r="B5">
        <f>Analises!B4</f>
        <v/>
      </c>
    </row>
    <row r="6">
      <c r="A6" s="4" t="inlineStr">
        <is>
          <t>Precisão da Estimativa (%)</t>
        </is>
      </c>
      <c r="B6">
        <f>Analises!B5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6" t="inlineStr">
        <is>
          <t>Técnica</t>
        </is>
      </c>
      <c r="B1" s="6" t="inlineStr">
        <is>
          <t>Complexidade</t>
        </is>
      </c>
      <c r="C1" s="6" t="inlineStr">
        <is>
          <t>Status</t>
        </is>
      </c>
    </row>
    <row r="2">
      <c r="A2" t="inlineStr">
        <is>
          <t>PSP</t>
        </is>
      </c>
      <c r="B2" t="inlineStr">
        <is>
          <t>Baixa</t>
        </is>
      </c>
      <c r="C2" t="inlineStr">
        <is>
          <t>Planejado</t>
        </is>
      </c>
    </row>
    <row r="3">
      <c r="A3" t="inlineStr">
        <is>
          <t>Wideband Delphi</t>
        </is>
      </c>
      <c r="B3" t="inlineStr">
        <is>
          <t>Média</t>
        </is>
      </c>
      <c r="C3" t="inlineStr">
        <is>
          <t>Em Execução</t>
        </is>
      </c>
    </row>
    <row r="4">
      <c r="A4" t="inlineStr">
        <is>
          <t>Planning Poker</t>
        </is>
      </c>
      <c r="B4" t="inlineStr">
        <is>
          <t>Alta</t>
        </is>
      </c>
      <c r="C4" t="inlineStr">
        <is>
          <t>Concluído</t>
        </is>
      </c>
    </row>
    <row r="5">
      <c r="A5" t="inlineStr">
        <is>
          <t>Pontos de Função</t>
        </is>
      </c>
      <c r="B5" t="inlineStr">
        <is>
          <t>Muito Alta</t>
        </is>
      </c>
      <c r="C5" t="inlineStr">
        <is>
          <t>Cancelado</t>
        </is>
      </c>
    </row>
    <row r="6">
      <c r="A6" t="inlineStr">
        <is>
          <t>Análise Histórica</t>
        </is>
      </c>
    </row>
    <row r="7">
      <c r="A7" t="inlineStr">
        <is>
          <t>Estimativa de Três Pontos</t>
        </is>
      </c>
    </row>
    <row r="8">
      <c r="A8" t="inlineStr">
        <is>
          <t>Opinião Especializada</t>
        </is>
      </c>
    </row>
    <row r="9">
      <c r="A9" t="inlineStr">
        <is>
          <t>Outra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2026-06-06T17:10:57Z</dcterms:created>
  <dcterms:modified xsi:type="dcterms:W3CDTF">2026-06-06T17:10:57Z</dcterms:modified>
</cp:coreProperties>
</file>