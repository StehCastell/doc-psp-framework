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tos" sheetId="1" state="visible" r:id="rId1"/>
    <sheet name="Estimativas" sheetId="2" state="visible" r:id="rId2"/>
    <sheet name="Comparativos" sheetId="3" state="visible" r:id="rId3"/>
    <sheet name="Analises" sheetId="4" state="visible" r:id="rId4"/>
    <sheet name="Dashboards" sheetId="5" state="visible" r:id="rId5"/>
    <sheet name="Listas" sheetId="6" state="visible" r:id="rId6"/>
  </sheets>
  <definedNames>
    <definedName name="_xlnm._FilterDatabase" localSheetId="0" hidden="1">'Projetos'!$A$1:$E$1</definedName>
    <definedName name="_xlnm._FilterDatabase" localSheetId="1" hidden="1">'Estimativas'!$A$1:$G$1</definedName>
    <definedName name="_xlnm._FilterDatabase" localSheetId="2" hidden="1">'Comparativos'!$A$1:$G$1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Projetos Mais Precisos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'Analises'!F3</f>
            </strRef>
          </tx>
          <spPr>
            <a:ln>
              <a:prstDash val="solid"/>
            </a:ln>
          </spPr>
          <cat>
            <numRef>
              <f>'Analises'!$D$4:$D$18</f>
            </numRef>
          </cat>
          <val>
            <numRef>
              <f>'Analises'!$F$4:$F$18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Desvio por Projeto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'Analises'!E3</f>
            </strRef>
          </tx>
          <spPr>
            <a:ln>
              <a:prstDash val="solid"/>
            </a:ln>
          </spPr>
          <cat>
            <numRef>
              <f>'Analises'!$D$4:$D$18</f>
            </numRef>
          </cat>
          <val>
            <numRef>
              <f>'Analises'!$E$4:$E$18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da Precisão (Mensal)</a:t>
            </a:r>
          </a:p>
        </rich>
      </tx>
    </title>
    <plotArea>
      <lineChart>
        <grouping val="standard"/>
        <ser>
          <idx val="0"/>
          <order val="0"/>
          <tx>
            <strRef>
              <f>'Analises'!B23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'Analises'!$A$24:$A$35</f>
            </numRef>
          </cat>
          <val>
            <numRef>
              <f>'Analises'!$B$24:$B$35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Projetos por Área</a:t>
            </a:r>
          </a:p>
        </rich>
      </tx>
    </title>
    <plotArea>
      <pieChart>
        <varyColors val="1"/>
        <ser>
          <idx val="0"/>
          <order val="0"/>
          <tx>
            <strRef>
              <f>'Analises'!I3</f>
            </strRef>
          </tx>
          <spPr>
            <a:ln>
              <a:prstDash val="solid"/>
            </a:ln>
          </spPr>
          <cat>
            <numRef>
              <f>'Analises'!$H$4:$H$13</f>
            </numRef>
          </cat>
          <val>
            <numRef>
              <f>'Analises'!$I$4:$I$13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26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ID</t>
        </is>
      </c>
      <c r="B1" s="1" t="inlineStr">
        <is>
          <t>Nome</t>
        </is>
      </c>
      <c r="C1" s="1" t="inlineStr">
        <is>
          <t>Área</t>
        </is>
      </c>
      <c r="D1" s="1" t="inlineStr">
        <is>
          <t>Responsável</t>
        </is>
      </c>
      <c r="E1" s="1" t="inlineStr">
        <is>
          <t>Status</t>
        </is>
      </c>
    </row>
  </sheetData>
  <autoFilter ref="A1:E1"/>
  <dataValidations count="1">
    <dataValidation sqref="E2:E300" showDropDown="0" showInputMessage="0" showErrorMessage="0" allowBlank="1" type="list">
      <formula1>=Listas!$A$2:$A$5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23" customWidth="1" min="5" max="5"/>
    <col width="15" customWidth="1" min="6" max="6"/>
    <col width="15" customWidth="1" min="7" max="7"/>
  </cols>
  <sheetData>
    <row r="1" ht="30" customHeight="1">
      <c r="A1" s="1" t="inlineStr">
        <is>
          <t>Projeto</t>
        </is>
      </c>
      <c r="B1" s="1" t="inlineStr">
        <is>
          <t>Esforço Total Estimado (h)</t>
        </is>
      </c>
      <c r="C1" s="1" t="inlineStr">
        <is>
          <t>Tamanho</t>
        </is>
      </c>
      <c r="D1" s="1" t="inlineStr">
        <is>
          <t>Complexidade</t>
        </is>
      </c>
      <c r="E1" s="1" t="inlineStr">
        <is>
          <t>Prazo Estimado (dias)</t>
        </is>
      </c>
      <c r="F1" s="1" t="inlineStr">
        <is>
          <t>Confiança (%)</t>
        </is>
      </c>
      <c r="G1" s="1" t="inlineStr">
        <is>
          <t>Técnica Usada</t>
        </is>
      </c>
    </row>
  </sheetData>
  <autoFilter ref="A1:G1"/>
  <dataValidations count="2">
    <dataValidation sqref="D2:D300" showDropDown="0" showInputMessage="0" showErrorMessage="0" allowBlank="1" type="list">
      <formula1>=Listas!$C$2:$C$5</formula1>
    </dataValidation>
    <dataValidation sqref="G2:G300" showDropDown="0" showInputMessage="0" showErrorMessage="0" allowBlank="1" type="list">
      <formula1>=Listas!$B$2:$B$9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1" customWidth="1" min="4" max="4"/>
    <col width="14" customWidth="1" min="5" max="5"/>
    <col width="14" customWidth="1" min="6" max="6"/>
    <col width="19" customWidth="1" min="7" max="7"/>
  </cols>
  <sheetData>
    <row r="1" ht="30" customHeight="1">
      <c r="A1" s="1" t="inlineStr">
        <is>
          <t>Projeto</t>
        </is>
      </c>
      <c r="B1" s="1" t="inlineStr">
        <is>
          <t>Estimado (h)</t>
        </is>
      </c>
      <c r="C1" s="1" t="inlineStr">
        <is>
          <t>Realizado (h)</t>
        </is>
      </c>
      <c r="D1" s="1" t="inlineStr">
        <is>
          <t>Desvio Absoluto (h)</t>
        </is>
      </c>
      <c r="E1" s="1" t="inlineStr">
        <is>
          <t>Desvio (%)</t>
        </is>
      </c>
      <c r="F1" s="1" t="inlineStr">
        <is>
          <t>Precisão (%)</t>
        </is>
      </c>
      <c r="G1" s="1" t="inlineStr">
        <is>
          <t>Data de Conclusão</t>
        </is>
      </c>
    </row>
    <row r="2">
      <c r="D2">
        <f>IF(AND(B2&lt;&gt;"",C2&lt;&gt;""),C2-B2,"")</f>
        <v/>
      </c>
      <c r="E2">
        <f>IF(AND(B2&lt;&gt;"",B2&lt;&gt;0,C2&lt;&gt;""),(C2-B2)/B2*100,"")</f>
        <v/>
      </c>
      <c r="F2">
        <f>IF(ISNUMBER(E2),100-ABS(E2),"")</f>
        <v/>
      </c>
    </row>
    <row r="3">
      <c r="D3">
        <f>IF(AND(B3&lt;&gt;"",C3&lt;&gt;""),C3-B3,"")</f>
        <v/>
      </c>
      <c r="E3">
        <f>IF(AND(B3&lt;&gt;"",B3&lt;&gt;0,C3&lt;&gt;""),(C3-B3)/B3*100,"")</f>
        <v/>
      </c>
      <c r="F3">
        <f>IF(ISNUMBER(E3),100-ABS(E3),"")</f>
        <v/>
      </c>
    </row>
    <row r="4">
      <c r="D4">
        <f>IF(AND(B4&lt;&gt;"",C4&lt;&gt;""),C4-B4,"")</f>
        <v/>
      </c>
      <c r="E4">
        <f>IF(AND(B4&lt;&gt;"",B4&lt;&gt;0,C4&lt;&gt;""),(C4-B4)/B4*100,"")</f>
        <v/>
      </c>
      <c r="F4">
        <f>IF(ISNUMBER(E4),100-ABS(E4),"")</f>
        <v/>
      </c>
    </row>
    <row r="5">
      <c r="D5">
        <f>IF(AND(B5&lt;&gt;"",C5&lt;&gt;""),C5-B5,"")</f>
        <v/>
      </c>
      <c r="E5">
        <f>IF(AND(B5&lt;&gt;"",B5&lt;&gt;0,C5&lt;&gt;""),(C5-B5)/B5*100,"")</f>
        <v/>
      </c>
      <c r="F5">
        <f>IF(ISNUMBER(E5),100-ABS(E5),"")</f>
        <v/>
      </c>
    </row>
    <row r="6">
      <c r="D6">
        <f>IF(AND(B6&lt;&gt;"",C6&lt;&gt;""),C6-B6,"")</f>
        <v/>
      </c>
      <c r="E6">
        <f>IF(AND(B6&lt;&gt;"",B6&lt;&gt;0,C6&lt;&gt;""),(C6-B6)/B6*100,"")</f>
        <v/>
      </c>
      <c r="F6">
        <f>IF(ISNUMBER(E6),100-ABS(E6),"")</f>
        <v/>
      </c>
    </row>
    <row r="7">
      <c r="D7">
        <f>IF(AND(B7&lt;&gt;"",C7&lt;&gt;""),C7-B7,"")</f>
        <v/>
      </c>
      <c r="E7">
        <f>IF(AND(B7&lt;&gt;"",B7&lt;&gt;0,C7&lt;&gt;""),(C7-B7)/B7*100,"")</f>
        <v/>
      </c>
      <c r="F7">
        <f>IF(ISNUMBER(E7),100-ABS(E7),"")</f>
        <v/>
      </c>
    </row>
    <row r="8">
      <c r="D8">
        <f>IF(AND(B8&lt;&gt;"",C8&lt;&gt;""),C8-B8,"")</f>
        <v/>
      </c>
      <c r="E8">
        <f>IF(AND(B8&lt;&gt;"",B8&lt;&gt;0,C8&lt;&gt;""),(C8-B8)/B8*100,"")</f>
        <v/>
      </c>
      <c r="F8">
        <f>IF(ISNUMBER(E8),100-ABS(E8),"")</f>
        <v/>
      </c>
    </row>
    <row r="9">
      <c r="D9">
        <f>IF(AND(B9&lt;&gt;"",C9&lt;&gt;""),C9-B9,"")</f>
        <v/>
      </c>
      <c r="E9">
        <f>IF(AND(B9&lt;&gt;"",B9&lt;&gt;0,C9&lt;&gt;""),(C9-B9)/B9*100,"")</f>
        <v/>
      </c>
      <c r="F9">
        <f>IF(ISNUMBER(E9),100-ABS(E9),"")</f>
        <v/>
      </c>
    </row>
    <row r="10">
      <c r="D10">
        <f>IF(AND(B10&lt;&gt;"",C10&lt;&gt;""),C10-B10,"")</f>
        <v/>
      </c>
      <c r="E10">
        <f>IF(AND(B10&lt;&gt;"",B10&lt;&gt;0,C10&lt;&gt;""),(C10-B10)/B10*100,"")</f>
        <v/>
      </c>
      <c r="F10">
        <f>IF(ISNUMBER(E10),100-ABS(E10),"")</f>
        <v/>
      </c>
    </row>
    <row r="11">
      <c r="D11">
        <f>IF(AND(B11&lt;&gt;"",C11&lt;&gt;""),C11-B11,"")</f>
        <v/>
      </c>
      <c r="E11">
        <f>IF(AND(B11&lt;&gt;"",B11&lt;&gt;0,C11&lt;&gt;""),(C11-B11)/B11*100,"")</f>
        <v/>
      </c>
      <c r="F11">
        <f>IF(ISNUMBER(E11),100-ABS(E11),"")</f>
        <v/>
      </c>
    </row>
    <row r="12">
      <c r="D12">
        <f>IF(AND(B12&lt;&gt;"",C12&lt;&gt;""),C12-B12,"")</f>
        <v/>
      </c>
      <c r="E12">
        <f>IF(AND(B12&lt;&gt;"",B12&lt;&gt;0,C12&lt;&gt;""),(C12-B12)/B12*100,"")</f>
        <v/>
      </c>
      <c r="F12">
        <f>IF(ISNUMBER(E12),100-ABS(E12),"")</f>
        <v/>
      </c>
    </row>
    <row r="13">
      <c r="D13">
        <f>IF(AND(B13&lt;&gt;"",C13&lt;&gt;""),C13-B13,"")</f>
        <v/>
      </c>
      <c r="E13">
        <f>IF(AND(B13&lt;&gt;"",B13&lt;&gt;0,C13&lt;&gt;""),(C13-B13)/B13*100,"")</f>
        <v/>
      </c>
      <c r="F13">
        <f>IF(ISNUMBER(E13),100-ABS(E13),"")</f>
        <v/>
      </c>
    </row>
    <row r="14">
      <c r="D14">
        <f>IF(AND(B14&lt;&gt;"",C14&lt;&gt;""),C14-B14,"")</f>
        <v/>
      </c>
      <c r="E14">
        <f>IF(AND(B14&lt;&gt;"",B14&lt;&gt;0,C14&lt;&gt;""),(C14-B14)/B14*100,"")</f>
        <v/>
      </c>
      <c r="F14">
        <f>IF(ISNUMBER(E14),100-ABS(E14),"")</f>
        <v/>
      </c>
    </row>
    <row r="15">
      <c r="D15">
        <f>IF(AND(B15&lt;&gt;"",C15&lt;&gt;""),C15-B15,"")</f>
        <v/>
      </c>
      <c r="E15">
        <f>IF(AND(B15&lt;&gt;"",B15&lt;&gt;0,C15&lt;&gt;""),(C15-B15)/B15*100,"")</f>
        <v/>
      </c>
      <c r="F15">
        <f>IF(ISNUMBER(E15),100-ABS(E15),"")</f>
        <v/>
      </c>
    </row>
    <row r="16">
      <c r="D16">
        <f>IF(AND(B16&lt;&gt;"",C16&lt;&gt;""),C16-B16,"")</f>
        <v/>
      </c>
      <c r="E16">
        <f>IF(AND(B16&lt;&gt;"",B16&lt;&gt;0,C16&lt;&gt;""),(C16-B16)/B16*100,"")</f>
        <v/>
      </c>
      <c r="F16">
        <f>IF(ISNUMBER(E16),100-ABS(E16),"")</f>
        <v/>
      </c>
    </row>
    <row r="17">
      <c r="D17">
        <f>IF(AND(B17&lt;&gt;"",C17&lt;&gt;""),C17-B17,"")</f>
        <v/>
      </c>
      <c r="E17">
        <f>IF(AND(B17&lt;&gt;"",B17&lt;&gt;0,C17&lt;&gt;""),(C17-B17)/B17*100,"")</f>
        <v/>
      </c>
      <c r="F17">
        <f>IF(ISNUMBER(E17),100-ABS(E17),"")</f>
        <v/>
      </c>
    </row>
    <row r="18">
      <c r="D18">
        <f>IF(AND(B18&lt;&gt;"",C18&lt;&gt;""),C18-B18,"")</f>
        <v/>
      </c>
      <c r="E18">
        <f>IF(AND(B18&lt;&gt;"",B18&lt;&gt;0,C18&lt;&gt;""),(C18-B18)/B18*100,"")</f>
        <v/>
      </c>
      <c r="F18">
        <f>IF(ISNUMBER(E18),100-ABS(E18),"")</f>
        <v/>
      </c>
    </row>
    <row r="19">
      <c r="D19">
        <f>IF(AND(B19&lt;&gt;"",C19&lt;&gt;""),C19-B19,"")</f>
        <v/>
      </c>
      <c r="E19">
        <f>IF(AND(B19&lt;&gt;"",B19&lt;&gt;0,C19&lt;&gt;""),(C19-B19)/B19*100,"")</f>
        <v/>
      </c>
      <c r="F19">
        <f>IF(ISNUMBER(E19),100-ABS(E19),"")</f>
        <v/>
      </c>
    </row>
    <row r="20">
      <c r="D20">
        <f>IF(AND(B20&lt;&gt;"",C20&lt;&gt;""),C20-B20,"")</f>
        <v/>
      </c>
      <c r="E20">
        <f>IF(AND(B20&lt;&gt;"",B20&lt;&gt;0,C20&lt;&gt;""),(C20-B20)/B20*100,"")</f>
        <v/>
      </c>
      <c r="F20">
        <f>IF(ISNUMBER(E20),100-ABS(E20),"")</f>
        <v/>
      </c>
    </row>
    <row r="21">
      <c r="D21">
        <f>IF(AND(B21&lt;&gt;"",C21&lt;&gt;""),C21-B21,"")</f>
        <v/>
      </c>
      <c r="E21">
        <f>IF(AND(B21&lt;&gt;"",B21&lt;&gt;0,C21&lt;&gt;""),(C21-B21)/B21*100,"")</f>
        <v/>
      </c>
      <c r="F21">
        <f>IF(ISNUMBER(E21),100-ABS(E21),"")</f>
        <v/>
      </c>
    </row>
    <row r="22">
      <c r="D22">
        <f>IF(AND(B22&lt;&gt;"",C22&lt;&gt;""),C22-B22,"")</f>
        <v/>
      </c>
      <c r="E22">
        <f>IF(AND(B22&lt;&gt;"",B22&lt;&gt;0,C22&lt;&gt;""),(C22-B22)/B22*100,"")</f>
        <v/>
      </c>
      <c r="F22">
        <f>IF(ISNUMBER(E22),100-ABS(E22),"")</f>
        <v/>
      </c>
    </row>
    <row r="23">
      <c r="D23">
        <f>IF(AND(B23&lt;&gt;"",C23&lt;&gt;""),C23-B23,"")</f>
        <v/>
      </c>
      <c r="E23">
        <f>IF(AND(B23&lt;&gt;"",B23&lt;&gt;0,C23&lt;&gt;""),(C23-B23)/B23*100,"")</f>
        <v/>
      </c>
      <c r="F23">
        <f>IF(ISNUMBER(E23),100-ABS(E23),"")</f>
        <v/>
      </c>
    </row>
    <row r="24">
      <c r="D24">
        <f>IF(AND(B24&lt;&gt;"",C24&lt;&gt;""),C24-B24,"")</f>
        <v/>
      </c>
      <c r="E24">
        <f>IF(AND(B24&lt;&gt;"",B24&lt;&gt;0,C24&lt;&gt;""),(C24-B24)/B24*100,"")</f>
        <v/>
      </c>
      <c r="F24">
        <f>IF(ISNUMBER(E24),100-ABS(E24),"")</f>
        <v/>
      </c>
    </row>
    <row r="25">
      <c r="D25">
        <f>IF(AND(B25&lt;&gt;"",C25&lt;&gt;""),C25-B25,"")</f>
        <v/>
      </c>
      <c r="E25">
        <f>IF(AND(B25&lt;&gt;"",B25&lt;&gt;0,C25&lt;&gt;""),(C25-B25)/B25*100,"")</f>
        <v/>
      </c>
      <c r="F25">
        <f>IF(ISNUMBER(E25),100-ABS(E25),"")</f>
        <v/>
      </c>
    </row>
    <row r="26">
      <c r="D26">
        <f>IF(AND(B26&lt;&gt;"",C26&lt;&gt;""),C26-B26,"")</f>
        <v/>
      </c>
      <c r="E26">
        <f>IF(AND(B26&lt;&gt;"",B26&lt;&gt;0,C26&lt;&gt;""),(C26-B26)/B26*100,"")</f>
        <v/>
      </c>
      <c r="F26">
        <f>IF(ISNUMBER(E26),100-ABS(E26),"")</f>
        <v/>
      </c>
    </row>
    <row r="27">
      <c r="D27">
        <f>IF(AND(B27&lt;&gt;"",C27&lt;&gt;""),C27-B27,"")</f>
        <v/>
      </c>
      <c r="E27">
        <f>IF(AND(B27&lt;&gt;"",B27&lt;&gt;0,C27&lt;&gt;""),(C27-B27)/B27*100,"")</f>
        <v/>
      </c>
      <c r="F27">
        <f>IF(ISNUMBER(E27),100-ABS(E27),"")</f>
        <v/>
      </c>
    </row>
    <row r="28">
      <c r="D28">
        <f>IF(AND(B28&lt;&gt;"",C28&lt;&gt;""),C28-B28,"")</f>
        <v/>
      </c>
      <c r="E28">
        <f>IF(AND(B28&lt;&gt;"",B28&lt;&gt;0,C28&lt;&gt;""),(C28-B28)/B28*100,"")</f>
        <v/>
      </c>
      <c r="F28">
        <f>IF(ISNUMBER(E28),100-ABS(E28),"")</f>
        <v/>
      </c>
    </row>
    <row r="29">
      <c r="D29">
        <f>IF(AND(B29&lt;&gt;"",C29&lt;&gt;""),C29-B29,"")</f>
        <v/>
      </c>
      <c r="E29">
        <f>IF(AND(B29&lt;&gt;"",B29&lt;&gt;0,C29&lt;&gt;""),(C29-B29)/B29*100,"")</f>
        <v/>
      </c>
      <c r="F29">
        <f>IF(ISNUMBER(E29),100-ABS(E29),"")</f>
        <v/>
      </c>
    </row>
    <row r="30">
      <c r="D30">
        <f>IF(AND(B30&lt;&gt;"",C30&lt;&gt;""),C30-B30,"")</f>
        <v/>
      </c>
      <c r="E30">
        <f>IF(AND(B30&lt;&gt;"",B30&lt;&gt;0,C30&lt;&gt;""),(C30-B30)/B30*100,"")</f>
        <v/>
      </c>
      <c r="F30">
        <f>IF(ISNUMBER(E30),100-ABS(E30),"")</f>
        <v/>
      </c>
    </row>
    <row r="31">
      <c r="D31">
        <f>IF(AND(B31&lt;&gt;"",C31&lt;&gt;""),C31-B31,"")</f>
        <v/>
      </c>
      <c r="E31">
        <f>IF(AND(B31&lt;&gt;"",B31&lt;&gt;0,C31&lt;&gt;""),(C31-B31)/B31*100,"")</f>
        <v/>
      </c>
      <c r="F31">
        <f>IF(ISNUMBER(E31),100-ABS(E31),"")</f>
        <v/>
      </c>
    </row>
    <row r="32">
      <c r="D32">
        <f>IF(AND(B32&lt;&gt;"",C32&lt;&gt;""),C32-B32,"")</f>
        <v/>
      </c>
      <c r="E32">
        <f>IF(AND(B32&lt;&gt;"",B32&lt;&gt;0,C32&lt;&gt;""),(C32-B32)/B32*100,"")</f>
        <v/>
      </c>
      <c r="F32">
        <f>IF(ISNUMBER(E32),100-ABS(E32),"")</f>
        <v/>
      </c>
    </row>
    <row r="33">
      <c r="D33">
        <f>IF(AND(B33&lt;&gt;"",C33&lt;&gt;""),C33-B33,"")</f>
        <v/>
      </c>
      <c r="E33">
        <f>IF(AND(B33&lt;&gt;"",B33&lt;&gt;0,C33&lt;&gt;""),(C33-B33)/B33*100,"")</f>
        <v/>
      </c>
      <c r="F33">
        <f>IF(ISNUMBER(E33),100-ABS(E33),"")</f>
        <v/>
      </c>
    </row>
    <row r="34">
      <c r="D34">
        <f>IF(AND(B34&lt;&gt;"",C34&lt;&gt;""),C34-B34,"")</f>
        <v/>
      </c>
      <c r="E34">
        <f>IF(AND(B34&lt;&gt;"",B34&lt;&gt;0,C34&lt;&gt;""),(C34-B34)/B34*100,"")</f>
        <v/>
      </c>
      <c r="F34">
        <f>IF(ISNUMBER(E34),100-ABS(E34),"")</f>
        <v/>
      </c>
    </row>
    <row r="35">
      <c r="D35">
        <f>IF(AND(B35&lt;&gt;"",C35&lt;&gt;""),C35-B35,"")</f>
        <v/>
      </c>
      <c r="E35">
        <f>IF(AND(B35&lt;&gt;"",B35&lt;&gt;0,C35&lt;&gt;""),(C35-B35)/B35*100,"")</f>
        <v/>
      </c>
      <c r="F35">
        <f>IF(ISNUMBER(E35),100-ABS(E35),"")</f>
        <v/>
      </c>
    </row>
    <row r="36">
      <c r="D36">
        <f>IF(AND(B36&lt;&gt;"",C36&lt;&gt;""),C36-B36,"")</f>
        <v/>
      </c>
      <c r="E36">
        <f>IF(AND(B36&lt;&gt;"",B36&lt;&gt;0,C36&lt;&gt;""),(C36-B36)/B36*100,"")</f>
        <v/>
      </c>
      <c r="F36">
        <f>IF(ISNUMBER(E36),100-ABS(E36),"")</f>
        <v/>
      </c>
    </row>
    <row r="37">
      <c r="D37">
        <f>IF(AND(B37&lt;&gt;"",C37&lt;&gt;""),C37-B37,"")</f>
        <v/>
      </c>
      <c r="E37">
        <f>IF(AND(B37&lt;&gt;"",B37&lt;&gt;0,C37&lt;&gt;""),(C37-B37)/B37*100,"")</f>
        <v/>
      </c>
      <c r="F37">
        <f>IF(ISNUMBER(E37),100-ABS(E37),"")</f>
        <v/>
      </c>
    </row>
    <row r="38">
      <c r="D38">
        <f>IF(AND(B38&lt;&gt;"",C38&lt;&gt;""),C38-B38,"")</f>
        <v/>
      </c>
      <c r="E38">
        <f>IF(AND(B38&lt;&gt;"",B38&lt;&gt;0,C38&lt;&gt;""),(C38-B38)/B38*100,"")</f>
        <v/>
      </c>
      <c r="F38">
        <f>IF(ISNUMBER(E38),100-ABS(E38),"")</f>
        <v/>
      </c>
    </row>
    <row r="39">
      <c r="D39">
        <f>IF(AND(B39&lt;&gt;"",C39&lt;&gt;""),C39-B39,"")</f>
        <v/>
      </c>
      <c r="E39">
        <f>IF(AND(B39&lt;&gt;"",B39&lt;&gt;0,C39&lt;&gt;""),(C39-B39)/B39*100,"")</f>
        <v/>
      </c>
      <c r="F39">
        <f>IF(ISNUMBER(E39),100-ABS(E39),"")</f>
        <v/>
      </c>
    </row>
    <row r="40">
      <c r="D40">
        <f>IF(AND(B40&lt;&gt;"",C40&lt;&gt;""),C40-B40,"")</f>
        <v/>
      </c>
      <c r="E40">
        <f>IF(AND(B40&lt;&gt;"",B40&lt;&gt;0,C40&lt;&gt;""),(C40-B40)/B40*100,"")</f>
        <v/>
      </c>
      <c r="F40">
        <f>IF(ISNUMBER(E40),100-ABS(E40),"")</f>
        <v/>
      </c>
    </row>
    <row r="41">
      <c r="D41">
        <f>IF(AND(B41&lt;&gt;"",C41&lt;&gt;""),C41-B41,"")</f>
        <v/>
      </c>
      <c r="E41">
        <f>IF(AND(B41&lt;&gt;"",B41&lt;&gt;0,C41&lt;&gt;""),(C41-B41)/B41*100,"")</f>
        <v/>
      </c>
      <c r="F41">
        <f>IF(ISNUMBER(E41),100-ABS(E41),"")</f>
        <v/>
      </c>
    </row>
    <row r="42">
      <c r="D42">
        <f>IF(AND(B42&lt;&gt;"",C42&lt;&gt;""),C42-B42,"")</f>
        <v/>
      </c>
      <c r="E42">
        <f>IF(AND(B42&lt;&gt;"",B42&lt;&gt;0,C42&lt;&gt;""),(C42-B42)/B42*100,"")</f>
        <v/>
      </c>
      <c r="F42">
        <f>IF(ISNUMBER(E42),100-ABS(E42),"")</f>
        <v/>
      </c>
    </row>
    <row r="43">
      <c r="D43">
        <f>IF(AND(B43&lt;&gt;"",C43&lt;&gt;""),C43-B43,"")</f>
        <v/>
      </c>
      <c r="E43">
        <f>IF(AND(B43&lt;&gt;"",B43&lt;&gt;0,C43&lt;&gt;""),(C43-B43)/B43*100,"")</f>
        <v/>
      </c>
      <c r="F43">
        <f>IF(ISNUMBER(E43),100-ABS(E43),"")</f>
        <v/>
      </c>
    </row>
    <row r="44">
      <c r="D44">
        <f>IF(AND(B44&lt;&gt;"",C44&lt;&gt;""),C44-B44,"")</f>
        <v/>
      </c>
      <c r="E44">
        <f>IF(AND(B44&lt;&gt;"",B44&lt;&gt;0,C44&lt;&gt;""),(C44-B44)/B44*100,"")</f>
        <v/>
      </c>
      <c r="F44">
        <f>IF(ISNUMBER(E44),100-ABS(E44),"")</f>
        <v/>
      </c>
    </row>
    <row r="45">
      <c r="D45">
        <f>IF(AND(B45&lt;&gt;"",C45&lt;&gt;""),C45-B45,"")</f>
        <v/>
      </c>
      <c r="E45">
        <f>IF(AND(B45&lt;&gt;"",B45&lt;&gt;0,C45&lt;&gt;""),(C45-B45)/B45*100,"")</f>
        <v/>
      </c>
      <c r="F45">
        <f>IF(ISNUMBER(E45),100-ABS(E45),"")</f>
        <v/>
      </c>
    </row>
    <row r="46">
      <c r="D46">
        <f>IF(AND(B46&lt;&gt;"",C46&lt;&gt;""),C46-B46,"")</f>
        <v/>
      </c>
      <c r="E46">
        <f>IF(AND(B46&lt;&gt;"",B46&lt;&gt;0,C46&lt;&gt;""),(C46-B46)/B46*100,"")</f>
        <v/>
      </c>
      <c r="F46">
        <f>IF(ISNUMBER(E46),100-ABS(E46),"")</f>
        <v/>
      </c>
    </row>
    <row r="47">
      <c r="D47">
        <f>IF(AND(B47&lt;&gt;"",C47&lt;&gt;""),C47-B47,"")</f>
        <v/>
      </c>
      <c r="E47">
        <f>IF(AND(B47&lt;&gt;"",B47&lt;&gt;0,C47&lt;&gt;""),(C47-B47)/B47*100,"")</f>
        <v/>
      </c>
      <c r="F47">
        <f>IF(ISNUMBER(E47),100-ABS(E47),"")</f>
        <v/>
      </c>
    </row>
    <row r="48">
      <c r="D48">
        <f>IF(AND(B48&lt;&gt;"",C48&lt;&gt;""),C48-B48,"")</f>
        <v/>
      </c>
      <c r="E48">
        <f>IF(AND(B48&lt;&gt;"",B48&lt;&gt;0,C48&lt;&gt;""),(C48-B48)/B48*100,"")</f>
        <v/>
      </c>
      <c r="F48">
        <f>IF(ISNUMBER(E48),100-ABS(E48),"")</f>
        <v/>
      </c>
    </row>
    <row r="49">
      <c r="D49">
        <f>IF(AND(B49&lt;&gt;"",C49&lt;&gt;""),C49-B49,"")</f>
        <v/>
      </c>
      <c r="E49">
        <f>IF(AND(B49&lt;&gt;"",B49&lt;&gt;0,C49&lt;&gt;""),(C49-B49)/B49*100,"")</f>
        <v/>
      </c>
      <c r="F49">
        <f>IF(ISNUMBER(E49),100-ABS(E49),"")</f>
        <v/>
      </c>
    </row>
    <row r="50">
      <c r="D50">
        <f>IF(AND(B50&lt;&gt;"",C50&lt;&gt;""),C50-B50,"")</f>
        <v/>
      </c>
      <c r="E50">
        <f>IF(AND(B50&lt;&gt;"",B50&lt;&gt;0,C50&lt;&gt;""),(C50-B50)/B50*100,"")</f>
        <v/>
      </c>
      <c r="F50">
        <f>IF(ISNUMBER(E50),100-ABS(E50),"")</f>
        <v/>
      </c>
    </row>
    <row r="51">
      <c r="D51">
        <f>IF(AND(B51&lt;&gt;"",C51&lt;&gt;""),C51-B51,"")</f>
        <v/>
      </c>
      <c r="E51">
        <f>IF(AND(B51&lt;&gt;"",B51&lt;&gt;0,C51&lt;&gt;""),(C51-B51)/B51*100,"")</f>
        <v/>
      </c>
      <c r="F51">
        <f>IF(ISNUMBER(E51),100-ABS(E51),"")</f>
        <v/>
      </c>
    </row>
    <row r="52">
      <c r="D52">
        <f>IF(AND(B52&lt;&gt;"",C52&lt;&gt;""),C52-B52,"")</f>
        <v/>
      </c>
      <c r="E52">
        <f>IF(AND(B52&lt;&gt;"",B52&lt;&gt;0,C52&lt;&gt;""),(C52-B52)/B52*100,"")</f>
        <v/>
      </c>
      <c r="F52">
        <f>IF(ISNUMBER(E52),100-ABS(E52),"")</f>
        <v/>
      </c>
    </row>
    <row r="53">
      <c r="D53">
        <f>IF(AND(B53&lt;&gt;"",C53&lt;&gt;""),C53-B53,"")</f>
        <v/>
      </c>
      <c r="E53">
        <f>IF(AND(B53&lt;&gt;"",B53&lt;&gt;0,C53&lt;&gt;""),(C53-B53)/B53*100,"")</f>
        <v/>
      </c>
      <c r="F53">
        <f>IF(ISNUMBER(E53),100-ABS(E53),"")</f>
        <v/>
      </c>
    </row>
    <row r="54">
      <c r="D54">
        <f>IF(AND(B54&lt;&gt;"",C54&lt;&gt;""),C54-B54,"")</f>
        <v/>
      </c>
      <c r="E54">
        <f>IF(AND(B54&lt;&gt;"",B54&lt;&gt;0,C54&lt;&gt;""),(C54-B54)/B54*100,"")</f>
        <v/>
      </c>
      <c r="F54">
        <f>IF(ISNUMBER(E54),100-ABS(E54),"")</f>
        <v/>
      </c>
    </row>
    <row r="55">
      <c r="D55">
        <f>IF(AND(B55&lt;&gt;"",C55&lt;&gt;""),C55-B55,"")</f>
        <v/>
      </c>
      <c r="E55">
        <f>IF(AND(B55&lt;&gt;"",B55&lt;&gt;0,C55&lt;&gt;""),(C55-B55)/B55*100,"")</f>
        <v/>
      </c>
      <c r="F55">
        <f>IF(ISNUMBER(E55),100-ABS(E55),"")</f>
        <v/>
      </c>
    </row>
    <row r="56">
      <c r="D56">
        <f>IF(AND(B56&lt;&gt;"",C56&lt;&gt;""),C56-B56,"")</f>
        <v/>
      </c>
      <c r="E56">
        <f>IF(AND(B56&lt;&gt;"",B56&lt;&gt;0,C56&lt;&gt;""),(C56-B56)/B56*100,"")</f>
        <v/>
      </c>
      <c r="F56">
        <f>IF(ISNUMBER(E56),100-ABS(E56),"")</f>
        <v/>
      </c>
    </row>
    <row r="57">
      <c r="D57">
        <f>IF(AND(B57&lt;&gt;"",C57&lt;&gt;""),C57-B57,"")</f>
        <v/>
      </c>
      <c r="E57">
        <f>IF(AND(B57&lt;&gt;"",B57&lt;&gt;0,C57&lt;&gt;""),(C57-B57)/B57*100,"")</f>
        <v/>
      </c>
      <c r="F57">
        <f>IF(ISNUMBER(E57),100-ABS(E57),"")</f>
        <v/>
      </c>
    </row>
    <row r="58">
      <c r="D58">
        <f>IF(AND(B58&lt;&gt;"",C58&lt;&gt;""),C58-B58,"")</f>
        <v/>
      </c>
      <c r="E58">
        <f>IF(AND(B58&lt;&gt;"",B58&lt;&gt;0,C58&lt;&gt;""),(C58-B58)/B58*100,"")</f>
        <v/>
      </c>
      <c r="F58">
        <f>IF(ISNUMBER(E58),100-ABS(E58),"")</f>
        <v/>
      </c>
    </row>
    <row r="59">
      <c r="D59">
        <f>IF(AND(B59&lt;&gt;"",C59&lt;&gt;""),C59-B59,"")</f>
        <v/>
      </c>
      <c r="E59">
        <f>IF(AND(B59&lt;&gt;"",B59&lt;&gt;0,C59&lt;&gt;""),(C59-B59)/B59*100,"")</f>
        <v/>
      </c>
      <c r="F59">
        <f>IF(ISNUMBER(E59),100-ABS(E59),"")</f>
        <v/>
      </c>
    </row>
    <row r="60">
      <c r="D60">
        <f>IF(AND(B60&lt;&gt;"",C60&lt;&gt;""),C60-B60,"")</f>
        <v/>
      </c>
      <c r="E60">
        <f>IF(AND(B60&lt;&gt;"",B60&lt;&gt;0,C60&lt;&gt;""),(C60-B60)/B60*100,"")</f>
        <v/>
      </c>
      <c r="F60">
        <f>IF(ISNUMBER(E60),100-ABS(E60),"")</f>
        <v/>
      </c>
    </row>
    <row r="61">
      <c r="D61">
        <f>IF(AND(B61&lt;&gt;"",C61&lt;&gt;""),C61-B61,"")</f>
        <v/>
      </c>
      <c r="E61">
        <f>IF(AND(B61&lt;&gt;"",B61&lt;&gt;0,C61&lt;&gt;""),(C61-B61)/B61*100,"")</f>
        <v/>
      </c>
      <c r="F61">
        <f>IF(ISNUMBER(E61),100-ABS(E61),"")</f>
        <v/>
      </c>
    </row>
    <row r="62">
      <c r="D62">
        <f>IF(AND(B62&lt;&gt;"",C62&lt;&gt;""),C62-B62,"")</f>
        <v/>
      </c>
      <c r="E62">
        <f>IF(AND(B62&lt;&gt;"",B62&lt;&gt;0,C62&lt;&gt;""),(C62-B62)/B62*100,"")</f>
        <v/>
      </c>
      <c r="F62">
        <f>IF(ISNUMBER(E62),100-ABS(E62),"")</f>
        <v/>
      </c>
    </row>
    <row r="63">
      <c r="D63">
        <f>IF(AND(B63&lt;&gt;"",C63&lt;&gt;""),C63-B63,"")</f>
        <v/>
      </c>
      <c r="E63">
        <f>IF(AND(B63&lt;&gt;"",B63&lt;&gt;0,C63&lt;&gt;""),(C63-B63)/B63*100,"")</f>
        <v/>
      </c>
      <c r="F63">
        <f>IF(ISNUMBER(E63),100-ABS(E63),"")</f>
        <v/>
      </c>
    </row>
    <row r="64">
      <c r="D64">
        <f>IF(AND(B64&lt;&gt;"",C64&lt;&gt;""),C64-B64,"")</f>
        <v/>
      </c>
      <c r="E64">
        <f>IF(AND(B64&lt;&gt;"",B64&lt;&gt;0,C64&lt;&gt;""),(C64-B64)/B64*100,"")</f>
        <v/>
      </c>
      <c r="F64">
        <f>IF(ISNUMBER(E64),100-ABS(E64),"")</f>
        <v/>
      </c>
    </row>
    <row r="65">
      <c r="D65">
        <f>IF(AND(B65&lt;&gt;"",C65&lt;&gt;""),C65-B65,"")</f>
        <v/>
      </c>
      <c r="E65">
        <f>IF(AND(B65&lt;&gt;"",B65&lt;&gt;0,C65&lt;&gt;""),(C65-B65)/B65*100,"")</f>
        <v/>
      </c>
      <c r="F65">
        <f>IF(ISNUMBER(E65),100-ABS(E65),"")</f>
        <v/>
      </c>
    </row>
    <row r="66">
      <c r="D66">
        <f>IF(AND(B66&lt;&gt;"",C66&lt;&gt;""),C66-B66,"")</f>
        <v/>
      </c>
      <c r="E66">
        <f>IF(AND(B66&lt;&gt;"",B66&lt;&gt;0,C66&lt;&gt;""),(C66-B66)/B66*100,"")</f>
        <v/>
      </c>
      <c r="F66">
        <f>IF(ISNUMBER(E66),100-ABS(E66),"")</f>
        <v/>
      </c>
    </row>
    <row r="67">
      <c r="D67">
        <f>IF(AND(B67&lt;&gt;"",C67&lt;&gt;""),C67-B67,"")</f>
        <v/>
      </c>
      <c r="E67">
        <f>IF(AND(B67&lt;&gt;"",B67&lt;&gt;0,C67&lt;&gt;""),(C67-B67)/B67*100,"")</f>
        <v/>
      </c>
      <c r="F67">
        <f>IF(ISNUMBER(E67),100-ABS(E67),"")</f>
        <v/>
      </c>
    </row>
    <row r="68">
      <c r="D68">
        <f>IF(AND(B68&lt;&gt;"",C68&lt;&gt;""),C68-B68,"")</f>
        <v/>
      </c>
      <c r="E68">
        <f>IF(AND(B68&lt;&gt;"",B68&lt;&gt;0,C68&lt;&gt;""),(C68-B68)/B68*100,"")</f>
        <v/>
      </c>
      <c r="F68">
        <f>IF(ISNUMBER(E68),100-ABS(E68),"")</f>
        <v/>
      </c>
    </row>
    <row r="69">
      <c r="D69">
        <f>IF(AND(B69&lt;&gt;"",C69&lt;&gt;""),C69-B69,"")</f>
        <v/>
      </c>
      <c r="E69">
        <f>IF(AND(B69&lt;&gt;"",B69&lt;&gt;0,C69&lt;&gt;""),(C69-B69)/B69*100,"")</f>
        <v/>
      </c>
      <c r="F69">
        <f>IF(ISNUMBER(E69),100-ABS(E69),"")</f>
        <v/>
      </c>
    </row>
    <row r="70">
      <c r="D70">
        <f>IF(AND(B70&lt;&gt;"",C70&lt;&gt;""),C70-B70,"")</f>
        <v/>
      </c>
      <c r="E70">
        <f>IF(AND(B70&lt;&gt;"",B70&lt;&gt;0,C70&lt;&gt;""),(C70-B70)/B70*100,"")</f>
        <v/>
      </c>
      <c r="F70">
        <f>IF(ISNUMBER(E70),100-ABS(E70),"")</f>
        <v/>
      </c>
    </row>
    <row r="71">
      <c r="D71">
        <f>IF(AND(B71&lt;&gt;"",C71&lt;&gt;""),C71-B71,"")</f>
        <v/>
      </c>
      <c r="E71">
        <f>IF(AND(B71&lt;&gt;"",B71&lt;&gt;0,C71&lt;&gt;""),(C71-B71)/B71*100,"")</f>
        <v/>
      </c>
      <c r="F71">
        <f>IF(ISNUMBER(E71),100-ABS(E71),"")</f>
        <v/>
      </c>
    </row>
    <row r="72">
      <c r="D72">
        <f>IF(AND(B72&lt;&gt;"",C72&lt;&gt;""),C72-B72,"")</f>
        <v/>
      </c>
      <c r="E72">
        <f>IF(AND(B72&lt;&gt;"",B72&lt;&gt;0,C72&lt;&gt;""),(C72-B72)/B72*100,"")</f>
        <v/>
      </c>
      <c r="F72">
        <f>IF(ISNUMBER(E72),100-ABS(E72),"")</f>
        <v/>
      </c>
    </row>
    <row r="73">
      <c r="D73">
        <f>IF(AND(B73&lt;&gt;"",C73&lt;&gt;""),C73-B73,"")</f>
        <v/>
      </c>
      <c r="E73">
        <f>IF(AND(B73&lt;&gt;"",B73&lt;&gt;0,C73&lt;&gt;""),(C73-B73)/B73*100,"")</f>
        <v/>
      </c>
      <c r="F73">
        <f>IF(ISNUMBER(E73),100-ABS(E73),"")</f>
        <v/>
      </c>
    </row>
    <row r="74">
      <c r="D74">
        <f>IF(AND(B74&lt;&gt;"",C74&lt;&gt;""),C74-B74,"")</f>
        <v/>
      </c>
      <c r="E74">
        <f>IF(AND(B74&lt;&gt;"",B74&lt;&gt;0,C74&lt;&gt;""),(C74-B74)/B74*100,"")</f>
        <v/>
      </c>
      <c r="F74">
        <f>IF(ISNUMBER(E74),100-ABS(E74),"")</f>
        <v/>
      </c>
    </row>
    <row r="75">
      <c r="D75">
        <f>IF(AND(B75&lt;&gt;"",C75&lt;&gt;""),C75-B75,"")</f>
        <v/>
      </c>
      <c r="E75">
        <f>IF(AND(B75&lt;&gt;"",B75&lt;&gt;0,C75&lt;&gt;""),(C75-B75)/B75*100,"")</f>
        <v/>
      </c>
      <c r="F75">
        <f>IF(ISNUMBER(E75),100-ABS(E75),"")</f>
        <v/>
      </c>
    </row>
    <row r="76">
      <c r="D76">
        <f>IF(AND(B76&lt;&gt;"",C76&lt;&gt;""),C76-B76,"")</f>
        <v/>
      </c>
      <c r="E76">
        <f>IF(AND(B76&lt;&gt;"",B76&lt;&gt;0,C76&lt;&gt;""),(C76-B76)/B76*100,"")</f>
        <v/>
      </c>
      <c r="F76">
        <f>IF(ISNUMBER(E76),100-ABS(E76),"")</f>
        <v/>
      </c>
    </row>
    <row r="77">
      <c r="D77">
        <f>IF(AND(B77&lt;&gt;"",C77&lt;&gt;""),C77-B77,"")</f>
        <v/>
      </c>
      <c r="E77">
        <f>IF(AND(B77&lt;&gt;"",B77&lt;&gt;0,C77&lt;&gt;""),(C77-B77)/B77*100,"")</f>
        <v/>
      </c>
      <c r="F77">
        <f>IF(ISNUMBER(E77),100-ABS(E77),"")</f>
        <v/>
      </c>
    </row>
    <row r="78">
      <c r="D78">
        <f>IF(AND(B78&lt;&gt;"",C78&lt;&gt;""),C78-B78,"")</f>
        <v/>
      </c>
      <c r="E78">
        <f>IF(AND(B78&lt;&gt;"",B78&lt;&gt;0,C78&lt;&gt;""),(C78-B78)/B78*100,"")</f>
        <v/>
      </c>
      <c r="F78">
        <f>IF(ISNUMBER(E78),100-ABS(E78),"")</f>
        <v/>
      </c>
    </row>
    <row r="79">
      <c r="D79">
        <f>IF(AND(B79&lt;&gt;"",C79&lt;&gt;""),C79-B79,"")</f>
        <v/>
      </c>
      <c r="E79">
        <f>IF(AND(B79&lt;&gt;"",B79&lt;&gt;0,C79&lt;&gt;""),(C79-B79)/B79*100,"")</f>
        <v/>
      </c>
      <c r="F79">
        <f>IF(ISNUMBER(E79),100-ABS(E79),"")</f>
        <v/>
      </c>
    </row>
    <row r="80">
      <c r="D80">
        <f>IF(AND(B80&lt;&gt;"",C80&lt;&gt;""),C80-B80,"")</f>
        <v/>
      </c>
      <c r="E80">
        <f>IF(AND(B80&lt;&gt;"",B80&lt;&gt;0,C80&lt;&gt;""),(C80-B80)/B80*100,"")</f>
        <v/>
      </c>
      <c r="F80">
        <f>IF(ISNUMBER(E80),100-ABS(E80),"")</f>
        <v/>
      </c>
    </row>
    <row r="81">
      <c r="D81">
        <f>IF(AND(B81&lt;&gt;"",C81&lt;&gt;""),C81-B81,"")</f>
        <v/>
      </c>
      <c r="E81">
        <f>IF(AND(B81&lt;&gt;"",B81&lt;&gt;0,C81&lt;&gt;""),(C81-B81)/B81*100,"")</f>
        <v/>
      </c>
      <c r="F81">
        <f>IF(ISNUMBER(E81),100-ABS(E81),"")</f>
        <v/>
      </c>
    </row>
    <row r="82">
      <c r="D82">
        <f>IF(AND(B82&lt;&gt;"",C82&lt;&gt;""),C82-B82,"")</f>
        <v/>
      </c>
      <c r="E82">
        <f>IF(AND(B82&lt;&gt;"",B82&lt;&gt;0,C82&lt;&gt;""),(C82-B82)/B82*100,"")</f>
        <v/>
      </c>
      <c r="F82">
        <f>IF(ISNUMBER(E82),100-ABS(E82),"")</f>
        <v/>
      </c>
    </row>
    <row r="83">
      <c r="D83">
        <f>IF(AND(B83&lt;&gt;"",C83&lt;&gt;""),C83-B83,"")</f>
        <v/>
      </c>
      <c r="E83">
        <f>IF(AND(B83&lt;&gt;"",B83&lt;&gt;0,C83&lt;&gt;""),(C83-B83)/B83*100,"")</f>
        <v/>
      </c>
      <c r="F83">
        <f>IF(ISNUMBER(E83),100-ABS(E83),"")</f>
        <v/>
      </c>
    </row>
    <row r="84">
      <c r="D84">
        <f>IF(AND(B84&lt;&gt;"",C84&lt;&gt;""),C84-B84,"")</f>
        <v/>
      </c>
      <c r="E84">
        <f>IF(AND(B84&lt;&gt;"",B84&lt;&gt;0,C84&lt;&gt;""),(C84-B84)/B84*100,"")</f>
        <v/>
      </c>
      <c r="F84">
        <f>IF(ISNUMBER(E84),100-ABS(E84),"")</f>
        <v/>
      </c>
    </row>
    <row r="85">
      <c r="D85">
        <f>IF(AND(B85&lt;&gt;"",C85&lt;&gt;""),C85-B85,"")</f>
        <v/>
      </c>
      <c r="E85">
        <f>IF(AND(B85&lt;&gt;"",B85&lt;&gt;0,C85&lt;&gt;""),(C85-B85)/B85*100,"")</f>
        <v/>
      </c>
      <c r="F85">
        <f>IF(ISNUMBER(E85),100-ABS(E85),"")</f>
        <v/>
      </c>
    </row>
    <row r="86">
      <c r="D86">
        <f>IF(AND(B86&lt;&gt;"",C86&lt;&gt;""),C86-B86,"")</f>
        <v/>
      </c>
      <c r="E86">
        <f>IF(AND(B86&lt;&gt;"",B86&lt;&gt;0,C86&lt;&gt;""),(C86-B86)/B86*100,"")</f>
        <v/>
      </c>
      <c r="F86">
        <f>IF(ISNUMBER(E86),100-ABS(E86),"")</f>
        <v/>
      </c>
    </row>
    <row r="87">
      <c r="D87">
        <f>IF(AND(B87&lt;&gt;"",C87&lt;&gt;""),C87-B87,"")</f>
        <v/>
      </c>
      <c r="E87">
        <f>IF(AND(B87&lt;&gt;"",B87&lt;&gt;0,C87&lt;&gt;""),(C87-B87)/B87*100,"")</f>
        <v/>
      </c>
      <c r="F87">
        <f>IF(ISNUMBER(E87),100-ABS(E87),"")</f>
        <v/>
      </c>
    </row>
    <row r="88">
      <c r="D88">
        <f>IF(AND(B88&lt;&gt;"",C88&lt;&gt;""),C88-B88,"")</f>
        <v/>
      </c>
      <c r="E88">
        <f>IF(AND(B88&lt;&gt;"",B88&lt;&gt;0,C88&lt;&gt;""),(C88-B88)/B88*100,"")</f>
        <v/>
      </c>
      <c r="F88">
        <f>IF(ISNUMBER(E88),100-ABS(E88),"")</f>
        <v/>
      </c>
    </row>
    <row r="89">
      <c r="D89">
        <f>IF(AND(B89&lt;&gt;"",C89&lt;&gt;""),C89-B89,"")</f>
        <v/>
      </c>
      <c r="E89">
        <f>IF(AND(B89&lt;&gt;"",B89&lt;&gt;0,C89&lt;&gt;""),(C89-B89)/B89*100,"")</f>
        <v/>
      </c>
      <c r="F89">
        <f>IF(ISNUMBER(E89),100-ABS(E89),"")</f>
        <v/>
      </c>
    </row>
    <row r="90">
      <c r="D90">
        <f>IF(AND(B90&lt;&gt;"",C90&lt;&gt;""),C90-B90,"")</f>
        <v/>
      </c>
      <c r="E90">
        <f>IF(AND(B90&lt;&gt;"",B90&lt;&gt;0,C90&lt;&gt;""),(C90-B90)/B90*100,"")</f>
        <v/>
      </c>
      <c r="F90">
        <f>IF(ISNUMBER(E90),100-ABS(E90),"")</f>
        <v/>
      </c>
    </row>
    <row r="91">
      <c r="D91">
        <f>IF(AND(B91&lt;&gt;"",C91&lt;&gt;""),C91-B91,"")</f>
        <v/>
      </c>
      <c r="E91">
        <f>IF(AND(B91&lt;&gt;"",B91&lt;&gt;0,C91&lt;&gt;""),(C91-B91)/B91*100,"")</f>
        <v/>
      </c>
      <c r="F91">
        <f>IF(ISNUMBER(E91),100-ABS(E91),"")</f>
        <v/>
      </c>
    </row>
    <row r="92">
      <c r="D92">
        <f>IF(AND(B92&lt;&gt;"",C92&lt;&gt;""),C92-B92,"")</f>
        <v/>
      </c>
      <c r="E92">
        <f>IF(AND(B92&lt;&gt;"",B92&lt;&gt;0,C92&lt;&gt;""),(C92-B92)/B92*100,"")</f>
        <v/>
      </c>
      <c r="F92">
        <f>IF(ISNUMBER(E92),100-ABS(E92),"")</f>
        <v/>
      </c>
    </row>
    <row r="93">
      <c r="D93">
        <f>IF(AND(B93&lt;&gt;"",C93&lt;&gt;""),C93-B93,"")</f>
        <v/>
      </c>
      <c r="E93">
        <f>IF(AND(B93&lt;&gt;"",B93&lt;&gt;0,C93&lt;&gt;""),(C93-B93)/B93*100,"")</f>
        <v/>
      </c>
      <c r="F93">
        <f>IF(ISNUMBER(E93),100-ABS(E93),"")</f>
        <v/>
      </c>
    </row>
    <row r="94">
      <c r="D94">
        <f>IF(AND(B94&lt;&gt;"",C94&lt;&gt;""),C94-B94,"")</f>
        <v/>
      </c>
      <c r="E94">
        <f>IF(AND(B94&lt;&gt;"",B94&lt;&gt;0,C94&lt;&gt;""),(C94-B94)/B94*100,"")</f>
        <v/>
      </c>
      <c r="F94">
        <f>IF(ISNUMBER(E94),100-ABS(E94),"")</f>
        <v/>
      </c>
    </row>
    <row r="95">
      <c r="D95">
        <f>IF(AND(B95&lt;&gt;"",C95&lt;&gt;""),C95-B95,"")</f>
        <v/>
      </c>
      <c r="E95">
        <f>IF(AND(B95&lt;&gt;"",B95&lt;&gt;0,C95&lt;&gt;""),(C95-B95)/B95*100,"")</f>
        <v/>
      </c>
      <c r="F95">
        <f>IF(ISNUMBER(E95),100-ABS(E95),"")</f>
        <v/>
      </c>
    </row>
    <row r="96">
      <c r="D96">
        <f>IF(AND(B96&lt;&gt;"",C96&lt;&gt;""),C96-B96,"")</f>
        <v/>
      </c>
      <c r="E96">
        <f>IF(AND(B96&lt;&gt;"",B96&lt;&gt;0,C96&lt;&gt;""),(C96-B96)/B96*100,"")</f>
        <v/>
      </c>
      <c r="F96">
        <f>IF(ISNUMBER(E96),100-ABS(E96),"")</f>
        <v/>
      </c>
    </row>
    <row r="97">
      <c r="D97">
        <f>IF(AND(B97&lt;&gt;"",C97&lt;&gt;""),C97-B97,"")</f>
        <v/>
      </c>
      <c r="E97">
        <f>IF(AND(B97&lt;&gt;"",B97&lt;&gt;0,C97&lt;&gt;""),(C97-B97)/B97*100,"")</f>
        <v/>
      </c>
      <c r="F97">
        <f>IF(ISNUMBER(E97),100-ABS(E97),"")</f>
        <v/>
      </c>
    </row>
    <row r="98">
      <c r="D98">
        <f>IF(AND(B98&lt;&gt;"",C98&lt;&gt;""),C98-B98,"")</f>
        <v/>
      </c>
      <c r="E98">
        <f>IF(AND(B98&lt;&gt;"",B98&lt;&gt;0,C98&lt;&gt;""),(C98-B98)/B98*100,"")</f>
        <v/>
      </c>
      <c r="F98">
        <f>IF(ISNUMBER(E98),100-ABS(E98),"")</f>
        <v/>
      </c>
    </row>
    <row r="99">
      <c r="D99">
        <f>IF(AND(B99&lt;&gt;"",C99&lt;&gt;""),C99-B99,"")</f>
        <v/>
      </c>
      <c r="E99">
        <f>IF(AND(B99&lt;&gt;"",B99&lt;&gt;0,C99&lt;&gt;""),(C99-B99)/B99*100,"")</f>
        <v/>
      </c>
      <c r="F99">
        <f>IF(ISNUMBER(E99),100-ABS(E99),"")</f>
        <v/>
      </c>
    </row>
    <row r="100">
      <c r="D100">
        <f>IF(AND(B100&lt;&gt;"",C100&lt;&gt;""),C100-B100,"")</f>
        <v/>
      </c>
      <c r="E100">
        <f>IF(AND(B100&lt;&gt;"",B100&lt;&gt;0,C100&lt;&gt;""),(C100-B100)/B100*100,"")</f>
        <v/>
      </c>
      <c r="F100">
        <f>IF(ISNUMBER(E100),100-ABS(E100),"")</f>
        <v/>
      </c>
    </row>
    <row r="101">
      <c r="D101">
        <f>IF(AND(B101&lt;&gt;"",C101&lt;&gt;""),C101-B101,"")</f>
        <v/>
      </c>
      <c r="E101">
        <f>IF(AND(B101&lt;&gt;"",B101&lt;&gt;0,C101&lt;&gt;""),(C101-B101)/B101*100,"")</f>
        <v/>
      </c>
      <c r="F101">
        <f>IF(ISNUMBER(E101),100-ABS(E101),"")</f>
        <v/>
      </c>
    </row>
    <row r="102">
      <c r="D102">
        <f>IF(AND(B102&lt;&gt;"",C102&lt;&gt;""),C102-B102,"")</f>
        <v/>
      </c>
      <c r="E102">
        <f>IF(AND(B102&lt;&gt;"",B102&lt;&gt;0,C102&lt;&gt;""),(C102-B102)/B102*100,"")</f>
        <v/>
      </c>
      <c r="F102">
        <f>IF(ISNUMBER(E102),100-ABS(E102),"")</f>
        <v/>
      </c>
    </row>
    <row r="103">
      <c r="D103">
        <f>IF(AND(B103&lt;&gt;"",C103&lt;&gt;""),C103-B103,"")</f>
        <v/>
      </c>
      <c r="E103">
        <f>IF(AND(B103&lt;&gt;"",B103&lt;&gt;0,C103&lt;&gt;""),(C103-B103)/B103*100,"")</f>
        <v/>
      </c>
      <c r="F103">
        <f>IF(ISNUMBER(E103),100-ABS(E103),"")</f>
        <v/>
      </c>
    </row>
    <row r="104">
      <c r="D104">
        <f>IF(AND(B104&lt;&gt;"",C104&lt;&gt;""),C104-B104,"")</f>
        <v/>
      </c>
      <c r="E104">
        <f>IF(AND(B104&lt;&gt;"",B104&lt;&gt;0,C104&lt;&gt;""),(C104-B104)/B104*100,"")</f>
        <v/>
      </c>
      <c r="F104">
        <f>IF(ISNUMBER(E104),100-ABS(E104),"")</f>
        <v/>
      </c>
    </row>
    <row r="105">
      <c r="D105">
        <f>IF(AND(B105&lt;&gt;"",C105&lt;&gt;""),C105-B105,"")</f>
        <v/>
      </c>
      <c r="E105">
        <f>IF(AND(B105&lt;&gt;"",B105&lt;&gt;0,C105&lt;&gt;""),(C105-B105)/B105*100,"")</f>
        <v/>
      </c>
      <c r="F105">
        <f>IF(ISNUMBER(E105),100-ABS(E105),"")</f>
        <v/>
      </c>
    </row>
    <row r="106">
      <c r="D106">
        <f>IF(AND(B106&lt;&gt;"",C106&lt;&gt;""),C106-B106,"")</f>
        <v/>
      </c>
      <c r="E106">
        <f>IF(AND(B106&lt;&gt;"",B106&lt;&gt;0,C106&lt;&gt;""),(C106-B106)/B106*100,"")</f>
        <v/>
      </c>
      <c r="F106">
        <f>IF(ISNUMBER(E106),100-ABS(E106),"")</f>
        <v/>
      </c>
    </row>
    <row r="107">
      <c r="D107">
        <f>IF(AND(B107&lt;&gt;"",C107&lt;&gt;""),C107-B107,"")</f>
        <v/>
      </c>
      <c r="E107">
        <f>IF(AND(B107&lt;&gt;"",B107&lt;&gt;0,C107&lt;&gt;""),(C107-B107)/B107*100,"")</f>
        <v/>
      </c>
      <c r="F107">
        <f>IF(ISNUMBER(E107),100-ABS(E107),"")</f>
        <v/>
      </c>
    </row>
    <row r="108">
      <c r="D108">
        <f>IF(AND(B108&lt;&gt;"",C108&lt;&gt;""),C108-B108,"")</f>
        <v/>
      </c>
      <c r="E108">
        <f>IF(AND(B108&lt;&gt;"",B108&lt;&gt;0,C108&lt;&gt;""),(C108-B108)/B108*100,"")</f>
        <v/>
      </c>
      <c r="F108">
        <f>IF(ISNUMBER(E108),100-ABS(E108),"")</f>
        <v/>
      </c>
    </row>
    <row r="109">
      <c r="D109">
        <f>IF(AND(B109&lt;&gt;"",C109&lt;&gt;""),C109-B109,"")</f>
        <v/>
      </c>
      <c r="E109">
        <f>IF(AND(B109&lt;&gt;"",B109&lt;&gt;0,C109&lt;&gt;""),(C109-B109)/B109*100,"")</f>
        <v/>
      </c>
      <c r="F109">
        <f>IF(ISNUMBER(E109),100-ABS(E109),"")</f>
        <v/>
      </c>
    </row>
    <row r="110">
      <c r="D110">
        <f>IF(AND(B110&lt;&gt;"",C110&lt;&gt;""),C110-B110,"")</f>
        <v/>
      </c>
      <c r="E110">
        <f>IF(AND(B110&lt;&gt;"",B110&lt;&gt;0,C110&lt;&gt;""),(C110-B110)/B110*100,"")</f>
        <v/>
      </c>
      <c r="F110">
        <f>IF(ISNUMBER(E110),100-ABS(E110),"")</f>
        <v/>
      </c>
    </row>
    <row r="111">
      <c r="D111">
        <f>IF(AND(B111&lt;&gt;"",C111&lt;&gt;""),C111-B111,"")</f>
        <v/>
      </c>
      <c r="E111">
        <f>IF(AND(B111&lt;&gt;"",B111&lt;&gt;0,C111&lt;&gt;""),(C111-B111)/B111*100,"")</f>
        <v/>
      </c>
      <c r="F111">
        <f>IF(ISNUMBER(E111),100-ABS(E111),"")</f>
        <v/>
      </c>
    </row>
    <row r="112">
      <c r="D112">
        <f>IF(AND(B112&lt;&gt;"",C112&lt;&gt;""),C112-B112,"")</f>
        <v/>
      </c>
      <c r="E112">
        <f>IF(AND(B112&lt;&gt;"",B112&lt;&gt;0,C112&lt;&gt;""),(C112-B112)/B112*100,"")</f>
        <v/>
      </c>
      <c r="F112">
        <f>IF(ISNUMBER(E112),100-ABS(E112),"")</f>
        <v/>
      </c>
    </row>
    <row r="113">
      <c r="D113">
        <f>IF(AND(B113&lt;&gt;"",C113&lt;&gt;""),C113-B113,"")</f>
        <v/>
      </c>
      <c r="E113">
        <f>IF(AND(B113&lt;&gt;"",B113&lt;&gt;0,C113&lt;&gt;""),(C113-B113)/B113*100,"")</f>
        <v/>
      </c>
      <c r="F113">
        <f>IF(ISNUMBER(E113),100-ABS(E113),"")</f>
        <v/>
      </c>
    </row>
    <row r="114">
      <c r="D114">
        <f>IF(AND(B114&lt;&gt;"",C114&lt;&gt;""),C114-B114,"")</f>
        <v/>
      </c>
      <c r="E114">
        <f>IF(AND(B114&lt;&gt;"",B114&lt;&gt;0,C114&lt;&gt;""),(C114-B114)/B114*100,"")</f>
        <v/>
      </c>
      <c r="F114">
        <f>IF(ISNUMBER(E114),100-ABS(E114),"")</f>
        <v/>
      </c>
    </row>
    <row r="115">
      <c r="D115">
        <f>IF(AND(B115&lt;&gt;"",C115&lt;&gt;""),C115-B115,"")</f>
        <v/>
      </c>
      <c r="E115">
        <f>IF(AND(B115&lt;&gt;"",B115&lt;&gt;0,C115&lt;&gt;""),(C115-B115)/B115*100,"")</f>
        <v/>
      </c>
      <c r="F115">
        <f>IF(ISNUMBER(E115),100-ABS(E115),"")</f>
        <v/>
      </c>
    </row>
    <row r="116">
      <c r="D116">
        <f>IF(AND(B116&lt;&gt;"",C116&lt;&gt;""),C116-B116,"")</f>
        <v/>
      </c>
      <c r="E116">
        <f>IF(AND(B116&lt;&gt;"",B116&lt;&gt;0,C116&lt;&gt;""),(C116-B116)/B116*100,"")</f>
        <v/>
      </c>
      <c r="F116">
        <f>IF(ISNUMBER(E116),100-ABS(E116),"")</f>
        <v/>
      </c>
    </row>
    <row r="117">
      <c r="D117">
        <f>IF(AND(B117&lt;&gt;"",C117&lt;&gt;""),C117-B117,"")</f>
        <v/>
      </c>
      <c r="E117">
        <f>IF(AND(B117&lt;&gt;"",B117&lt;&gt;0,C117&lt;&gt;""),(C117-B117)/B117*100,"")</f>
        <v/>
      </c>
      <c r="F117">
        <f>IF(ISNUMBER(E117),100-ABS(E117),"")</f>
        <v/>
      </c>
    </row>
    <row r="118">
      <c r="D118">
        <f>IF(AND(B118&lt;&gt;"",C118&lt;&gt;""),C118-B118,"")</f>
        <v/>
      </c>
      <c r="E118">
        <f>IF(AND(B118&lt;&gt;"",B118&lt;&gt;0,C118&lt;&gt;""),(C118-B118)/B118*100,"")</f>
        <v/>
      </c>
      <c r="F118">
        <f>IF(ISNUMBER(E118),100-ABS(E118),"")</f>
        <v/>
      </c>
    </row>
    <row r="119">
      <c r="D119">
        <f>IF(AND(B119&lt;&gt;"",C119&lt;&gt;""),C119-B119,"")</f>
        <v/>
      </c>
      <c r="E119">
        <f>IF(AND(B119&lt;&gt;"",B119&lt;&gt;0,C119&lt;&gt;""),(C119-B119)/B119*100,"")</f>
        <v/>
      </c>
      <c r="F119">
        <f>IF(ISNUMBER(E119),100-ABS(E119),"")</f>
        <v/>
      </c>
    </row>
    <row r="120">
      <c r="D120">
        <f>IF(AND(B120&lt;&gt;"",C120&lt;&gt;""),C120-B120,"")</f>
        <v/>
      </c>
      <c r="E120">
        <f>IF(AND(B120&lt;&gt;"",B120&lt;&gt;0,C120&lt;&gt;""),(C120-B120)/B120*100,"")</f>
        <v/>
      </c>
      <c r="F120">
        <f>IF(ISNUMBER(E120),100-ABS(E120),"")</f>
        <v/>
      </c>
    </row>
    <row r="121">
      <c r="D121">
        <f>IF(AND(B121&lt;&gt;"",C121&lt;&gt;""),C121-B121,"")</f>
        <v/>
      </c>
      <c r="E121">
        <f>IF(AND(B121&lt;&gt;"",B121&lt;&gt;0,C121&lt;&gt;""),(C121-B121)/B121*100,"")</f>
        <v/>
      </c>
      <c r="F121">
        <f>IF(ISNUMBER(E121),100-ABS(E121),"")</f>
        <v/>
      </c>
    </row>
    <row r="122">
      <c r="D122">
        <f>IF(AND(B122&lt;&gt;"",C122&lt;&gt;""),C122-B122,"")</f>
        <v/>
      </c>
      <c r="E122">
        <f>IF(AND(B122&lt;&gt;"",B122&lt;&gt;0,C122&lt;&gt;""),(C122-B122)/B122*100,"")</f>
        <v/>
      </c>
      <c r="F122">
        <f>IF(ISNUMBER(E122),100-ABS(E122),"")</f>
        <v/>
      </c>
    </row>
    <row r="123">
      <c r="D123">
        <f>IF(AND(B123&lt;&gt;"",C123&lt;&gt;""),C123-B123,"")</f>
        <v/>
      </c>
      <c r="E123">
        <f>IF(AND(B123&lt;&gt;"",B123&lt;&gt;0,C123&lt;&gt;""),(C123-B123)/B123*100,"")</f>
        <v/>
      </c>
      <c r="F123">
        <f>IF(ISNUMBER(E123),100-ABS(E123),"")</f>
        <v/>
      </c>
    </row>
    <row r="124">
      <c r="D124">
        <f>IF(AND(B124&lt;&gt;"",C124&lt;&gt;""),C124-B124,"")</f>
        <v/>
      </c>
      <c r="E124">
        <f>IF(AND(B124&lt;&gt;"",B124&lt;&gt;0,C124&lt;&gt;""),(C124-B124)/B124*100,"")</f>
        <v/>
      </c>
      <c r="F124">
        <f>IF(ISNUMBER(E124),100-ABS(E124),"")</f>
        <v/>
      </c>
    </row>
    <row r="125">
      <c r="D125">
        <f>IF(AND(B125&lt;&gt;"",C125&lt;&gt;""),C125-B125,"")</f>
        <v/>
      </c>
      <c r="E125">
        <f>IF(AND(B125&lt;&gt;"",B125&lt;&gt;0,C125&lt;&gt;""),(C125-B125)/B125*100,"")</f>
        <v/>
      </c>
      <c r="F125">
        <f>IF(ISNUMBER(E125),100-ABS(E125),"")</f>
        <v/>
      </c>
    </row>
    <row r="126">
      <c r="D126">
        <f>IF(AND(B126&lt;&gt;"",C126&lt;&gt;""),C126-B126,"")</f>
        <v/>
      </c>
      <c r="E126">
        <f>IF(AND(B126&lt;&gt;"",B126&lt;&gt;0,C126&lt;&gt;""),(C126-B126)/B126*100,"")</f>
        <v/>
      </c>
      <c r="F126">
        <f>IF(ISNUMBER(E126),100-ABS(E126),"")</f>
        <v/>
      </c>
    </row>
    <row r="127">
      <c r="D127">
        <f>IF(AND(B127&lt;&gt;"",C127&lt;&gt;""),C127-B127,"")</f>
        <v/>
      </c>
      <c r="E127">
        <f>IF(AND(B127&lt;&gt;"",B127&lt;&gt;0,C127&lt;&gt;""),(C127-B127)/B127*100,"")</f>
        <v/>
      </c>
      <c r="F127">
        <f>IF(ISNUMBER(E127),100-ABS(E127),"")</f>
        <v/>
      </c>
    </row>
    <row r="128">
      <c r="D128">
        <f>IF(AND(B128&lt;&gt;"",C128&lt;&gt;""),C128-B128,"")</f>
        <v/>
      </c>
      <c r="E128">
        <f>IF(AND(B128&lt;&gt;"",B128&lt;&gt;0,C128&lt;&gt;""),(C128-B128)/B128*100,"")</f>
        <v/>
      </c>
      <c r="F128">
        <f>IF(ISNUMBER(E128),100-ABS(E128),"")</f>
        <v/>
      </c>
    </row>
    <row r="129">
      <c r="D129">
        <f>IF(AND(B129&lt;&gt;"",C129&lt;&gt;""),C129-B129,"")</f>
        <v/>
      </c>
      <c r="E129">
        <f>IF(AND(B129&lt;&gt;"",B129&lt;&gt;0,C129&lt;&gt;""),(C129-B129)/B129*100,"")</f>
        <v/>
      </c>
      <c r="F129">
        <f>IF(ISNUMBER(E129),100-ABS(E129),"")</f>
        <v/>
      </c>
    </row>
    <row r="130">
      <c r="D130">
        <f>IF(AND(B130&lt;&gt;"",C130&lt;&gt;""),C130-B130,"")</f>
        <v/>
      </c>
      <c r="E130">
        <f>IF(AND(B130&lt;&gt;"",B130&lt;&gt;0,C130&lt;&gt;""),(C130-B130)/B130*100,"")</f>
        <v/>
      </c>
      <c r="F130">
        <f>IF(ISNUMBER(E130),100-ABS(E130),"")</f>
        <v/>
      </c>
    </row>
    <row r="131">
      <c r="D131">
        <f>IF(AND(B131&lt;&gt;"",C131&lt;&gt;""),C131-B131,"")</f>
        <v/>
      </c>
      <c r="E131">
        <f>IF(AND(B131&lt;&gt;"",B131&lt;&gt;0,C131&lt;&gt;""),(C131-B131)/B131*100,"")</f>
        <v/>
      </c>
      <c r="F131">
        <f>IF(ISNUMBER(E131),100-ABS(E131),"")</f>
        <v/>
      </c>
    </row>
    <row r="132">
      <c r="D132">
        <f>IF(AND(B132&lt;&gt;"",C132&lt;&gt;""),C132-B132,"")</f>
        <v/>
      </c>
      <c r="E132">
        <f>IF(AND(B132&lt;&gt;"",B132&lt;&gt;0,C132&lt;&gt;""),(C132-B132)/B132*100,"")</f>
        <v/>
      </c>
      <c r="F132">
        <f>IF(ISNUMBER(E132),100-ABS(E132),"")</f>
        <v/>
      </c>
    </row>
    <row r="133">
      <c r="D133">
        <f>IF(AND(B133&lt;&gt;"",C133&lt;&gt;""),C133-B133,"")</f>
        <v/>
      </c>
      <c r="E133">
        <f>IF(AND(B133&lt;&gt;"",B133&lt;&gt;0,C133&lt;&gt;""),(C133-B133)/B133*100,"")</f>
        <v/>
      </c>
      <c r="F133">
        <f>IF(ISNUMBER(E133),100-ABS(E133),"")</f>
        <v/>
      </c>
    </row>
    <row r="134">
      <c r="D134">
        <f>IF(AND(B134&lt;&gt;"",C134&lt;&gt;""),C134-B134,"")</f>
        <v/>
      </c>
      <c r="E134">
        <f>IF(AND(B134&lt;&gt;"",B134&lt;&gt;0,C134&lt;&gt;""),(C134-B134)/B134*100,"")</f>
        <v/>
      </c>
      <c r="F134">
        <f>IF(ISNUMBER(E134),100-ABS(E134),"")</f>
        <v/>
      </c>
    </row>
    <row r="135">
      <c r="D135">
        <f>IF(AND(B135&lt;&gt;"",C135&lt;&gt;""),C135-B135,"")</f>
        <v/>
      </c>
      <c r="E135">
        <f>IF(AND(B135&lt;&gt;"",B135&lt;&gt;0,C135&lt;&gt;""),(C135-B135)/B135*100,"")</f>
        <v/>
      </c>
      <c r="F135">
        <f>IF(ISNUMBER(E135),100-ABS(E135),"")</f>
        <v/>
      </c>
    </row>
    <row r="136">
      <c r="D136">
        <f>IF(AND(B136&lt;&gt;"",C136&lt;&gt;""),C136-B136,"")</f>
        <v/>
      </c>
      <c r="E136">
        <f>IF(AND(B136&lt;&gt;"",B136&lt;&gt;0,C136&lt;&gt;""),(C136-B136)/B136*100,"")</f>
        <v/>
      </c>
      <c r="F136">
        <f>IF(ISNUMBER(E136),100-ABS(E136),"")</f>
        <v/>
      </c>
    </row>
    <row r="137">
      <c r="D137">
        <f>IF(AND(B137&lt;&gt;"",C137&lt;&gt;""),C137-B137,"")</f>
        <v/>
      </c>
      <c r="E137">
        <f>IF(AND(B137&lt;&gt;"",B137&lt;&gt;0,C137&lt;&gt;""),(C137-B137)/B137*100,"")</f>
        <v/>
      </c>
      <c r="F137">
        <f>IF(ISNUMBER(E137),100-ABS(E137),"")</f>
        <v/>
      </c>
    </row>
    <row r="138">
      <c r="D138">
        <f>IF(AND(B138&lt;&gt;"",C138&lt;&gt;""),C138-B138,"")</f>
        <v/>
      </c>
      <c r="E138">
        <f>IF(AND(B138&lt;&gt;"",B138&lt;&gt;0,C138&lt;&gt;""),(C138-B138)/B138*100,"")</f>
        <v/>
      </c>
      <c r="F138">
        <f>IF(ISNUMBER(E138),100-ABS(E138),"")</f>
        <v/>
      </c>
    </row>
    <row r="139">
      <c r="D139">
        <f>IF(AND(B139&lt;&gt;"",C139&lt;&gt;""),C139-B139,"")</f>
        <v/>
      </c>
      <c r="E139">
        <f>IF(AND(B139&lt;&gt;"",B139&lt;&gt;0,C139&lt;&gt;""),(C139-B139)/B139*100,"")</f>
        <v/>
      </c>
      <c r="F139">
        <f>IF(ISNUMBER(E139),100-ABS(E139),"")</f>
        <v/>
      </c>
    </row>
    <row r="140">
      <c r="D140">
        <f>IF(AND(B140&lt;&gt;"",C140&lt;&gt;""),C140-B140,"")</f>
        <v/>
      </c>
      <c r="E140">
        <f>IF(AND(B140&lt;&gt;"",B140&lt;&gt;0,C140&lt;&gt;""),(C140-B140)/B140*100,"")</f>
        <v/>
      </c>
      <c r="F140">
        <f>IF(ISNUMBER(E140),100-ABS(E140),"")</f>
        <v/>
      </c>
    </row>
    <row r="141">
      <c r="D141">
        <f>IF(AND(B141&lt;&gt;"",C141&lt;&gt;""),C141-B141,"")</f>
        <v/>
      </c>
      <c r="E141">
        <f>IF(AND(B141&lt;&gt;"",B141&lt;&gt;0,C141&lt;&gt;""),(C141-B141)/B141*100,"")</f>
        <v/>
      </c>
      <c r="F141">
        <f>IF(ISNUMBER(E141),100-ABS(E141),"")</f>
        <v/>
      </c>
    </row>
    <row r="142">
      <c r="D142">
        <f>IF(AND(B142&lt;&gt;"",C142&lt;&gt;""),C142-B142,"")</f>
        <v/>
      </c>
      <c r="E142">
        <f>IF(AND(B142&lt;&gt;"",B142&lt;&gt;0,C142&lt;&gt;""),(C142-B142)/B142*100,"")</f>
        <v/>
      </c>
      <c r="F142">
        <f>IF(ISNUMBER(E142),100-ABS(E142),"")</f>
        <v/>
      </c>
    </row>
    <row r="143">
      <c r="D143">
        <f>IF(AND(B143&lt;&gt;"",C143&lt;&gt;""),C143-B143,"")</f>
        <v/>
      </c>
      <c r="E143">
        <f>IF(AND(B143&lt;&gt;"",B143&lt;&gt;0,C143&lt;&gt;""),(C143-B143)/B143*100,"")</f>
        <v/>
      </c>
      <c r="F143">
        <f>IF(ISNUMBER(E143),100-ABS(E143),"")</f>
        <v/>
      </c>
    </row>
    <row r="144">
      <c r="D144">
        <f>IF(AND(B144&lt;&gt;"",C144&lt;&gt;""),C144-B144,"")</f>
        <v/>
      </c>
      <c r="E144">
        <f>IF(AND(B144&lt;&gt;"",B144&lt;&gt;0,C144&lt;&gt;""),(C144-B144)/B144*100,"")</f>
        <v/>
      </c>
      <c r="F144">
        <f>IF(ISNUMBER(E144),100-ABS(E144),"")</f>
        <v/>
      </c>
    </row>
    <row r="145">
      <c r="D145">
        <f>IF(AND(B145&lt;&gt;"",C145&lt;&gt;""),C145-B145,"")</f>
        <v/>
      </c>
      <c r="E145">
        <f>IF(AND(B145&lt;&gt;"",B145&lt;&gt;0,C145&lt;&gt;""),(C145-B145)/B145*100,"")</f>
        <v/>
      </c>
      <c r="F145">
        <f>IF(ISNUMBER(E145),100-ABS(E145),"")</f>
        <v/>
      </c>
    </row>
    <row r="146">
      <c r="D146">
        <f>IF(AND(B146&lt;&gt;"",C146&lt;&gt;""),C146-B146,"")</f>
        <v/>
      </c>
      <c r="E146">
        <f>IF(AND(B146&lt;&gt;"",B146&lt;&gt;0,C146&lt;&gt;""),(C146-B146)/B146*100,"")</f>
        <v/>
      </c>
      <c r="F146">
        <f>IF(ISNUMBER(E146),100-ABS(E146),"")</f>
        <v/>
      </c>
    </row>
    <row r="147">
      <c r="D147">
        <f>IF(AND(B147&lt;&gt;"",C147&lt;&gt;""),C147-B147,"")</f>
        <v/>
      </c>
      <c r="E147">
        <f>IF(AND(B147&lt;&gt;"",B147&lt;&gt;0,C147&lt;&gt;""),(C147-B147)/B147*100,"")</f>
        <v/>
      </c>
      <c r="F147">
        <f>IF(ISNUMBER(E147),100-ABS(E147),"")</f>
        <v/>
      </c>
    </row>
    <row r="148">
      <c r="D148">
        <f>IF(AND(B148&lt;&gt;"",C148&lt;&gt;""),C148-B148,"")</f>
        <v/>
      </c>
      <c r="E148">
        <f>IF(AND(B148&lt;&gt;"",B148&lt;&gt;0,C148&lt;&gt;""),(C148-B148)/B148*100,"")</f>
        <v/>
      </c>
      <c r="F148">
        <f>IF(ISNUMBER(E148),100-ABS(E148),"")</f>
        <v/>
      </c>
    </row>
    <row r="149">
      <c r="D149">
        <f>IF(AND(B149&lt;&gt;"",C149&lt;&gt;""),C149-B149,"")</f>
        <v/>
      </c>
      <c r="E149">
        <f>IF(AND(B149&lt;&gt;"",B149&lt;&gt;0,C149&lt;&gt;""),(C149-B149)/B149*100,"")</f>
        <v/>
      </c>
      <c r="F149">
        <f>IF(ISNUMBER(E149),100-ABS(E149),"")</f>
        <v/>
      </c>
    </row>
    <row r="150">
      <c r="D150">
        <f>IF(AND(B150&lt;&gt;"",C150&lt;&gt;""),C150-B150,"")</f>
        <v/>
      </c>
      <c r="E150">
        <f>IF(AND(B150&lt;&gt;"",B150&lt;&gt;0,C150&lt;&gt;""),(C150-B150)/B150*100,"")</f>
        <v/>
      </c>
      <c r="F150">
        <f>IF(ISNUMBER(E150),100-ABS(E150),"")</f>
        <v/>
      </c>
    </row>
    <row r="151">
      <c r="D151">
        <f>IF(AND(B151&lt;&gt;"",C151&lt;&gt;""),C151-B151,"")</f>
        <v/>
      </c>
      <c r="E151">
        <f>IF(AND(B151&lt;&gt;"",B151&lt;&gt;0,C151&lt;&gt;""),(C151-B151)/B151*100,"")</f>
        <v/>
      </c>
      <c r="F151">
        <f>IF(ISNUMBER(E151),100-ABS(E151),"")</f>
        <v/>
      </c>
    </row>
    <row r="152">
      <c r="D152">
        <f>IF(AND(B152&lt;&gt;"",C152&lt;&gt;""),C152-B152,"")</f>
        <v/>
      </c>
      <c r="E152">
        <f>IF(AND(B152&lt;&gt;"",B152&lt;&gt;0,C152&lt;&gt;""),(C152-B152)/B152*100,"")</f>
        <v/>
      </c>
      <c r="F152">
        <f>IF(ISNUMBER(E152),100-ABS(E152),"")</f>
        <v/>
      </c>
    </row>
    <row r="153">
      <c r="D153">
        <f>IF(AND(B153&lt;&gt;"",C153&lt;&gt;""),C153-B153,"")</f>
        <v/>
      </c>
      <c r="E153">
        <f>IF(AND(B153&lt;&gt;"",B153&lt;&gt;0,C153&lt;&gt;""),(C153-B153)/B153*100,"")</f>
        <v/>
      </c>
      <c r="F153">
        <f>IF(ISNUMBER(E153),100-ABS(E153),"")</f>
        <v/>
      </c>
    </row>
    <row r="154">
      <c r="D154">
        <f>IF(AND(B154&lt;&gt;"",C154&lt;&gt;""),C154-B154,"")</f>
        <v/>
      </c>
      <c r="E154">
        <f>IF(AND(B154&lt;&gt;"",B154&lt;&gt;0,C154&lt;&gt;""),(C154-B154)/B154*100,"")</f>
        <v/>
      </c>
      <c r="F154">
        <f>IF(ISNUMBER(E154),100-ABS(E154),"")</f>
        <v/>
      </c>
    </row>
    <row r="155">
      <c r="D155">
        <f>IF(AND(B155&lt;&gt;"",C155&lt;&gt;""),C155-B155,"")</f>
        <v/>
      </c>
      <c r="E155">
        <f>IF(AND(B155&lt;&gt;"",B155&lt;&gt;0,C155&lt;&gt;""),(C155-B155)/B155*100,"")</f>
        <v/>
      </c>
      <c r="F155">
        <f>IF(ISNUMBER(E155),100-ABS(E155),"")</f>
        <v/>
      </c>
    </row>
    <row r="156">
      <c r="D156">
        <f>IF(AND(B156&lt;&gt;"",C156&lt;&gt;""),C156-B156,"")</f>
        <v/>
      </c>
      <c r="E156">
        <f>IF(AND(B156&lt;&gt;"",B156&lt;&gt;0,C156&lt;&gt;""),(C156-B156)/B156*100,"")</f>
        <v/>
      </c>
      <c r="F156">
        <f>IF(ISNUMBER(E156),100-ABS(E156),"")</f>
        <v/>
      </c>
    </row>
    <row r="157">
      <c r="D157">
        <f>IF(AND(B157&lt;&gt;"",C157&lt;&gt;""),C157-B157,"")</f>
        <v/>
      </c>
      <c r="E157">
        <f>IF(AND(B157&lt;&gt;"",B157&lt;&gt;0,C157&lt;&gt;""),(C157-B157)/B157*100,"")</f>
        <v/>
      </c>
      <c r="F157">
        <f>IF(ISNUMBER(E157),100-ABS(E157),"")</f>
        <v/>
      </c>
    </row>
    <row r="158">
      <c r="D158">
        <f>IF(AND(B158&lt;&gt;"",C158&lt;&gt;""),C158-B158,"")</f>
        <v/>
      </c>
      <c r="E158">
        <f>IF(AND(B158&lt;&gt;"",B158&lt;&gt;0,C158&lt;&gt;""),(C158-B158)/B158*100,"")</f>
        <v/>
      </c>
      <c r="F158">
        <f>IF(ISNUMBER(E158),100-ABS(E158),"")</f>
        <v/>
      </c>
    </row>
    <row r="159">
      <c r="D159">
        <f>IF(AND(B159&lt;&gt;"",C159&lt;&gt;""),C159-B159,"")</f>
        <v/>
      </c>
      <c r="E159">
        <f>IF(AND(B159&lt;&gt;"",B159&lt;&gt;0,C159&lt;&gt;""),(C159-B159)/B159*100,"")</f>
        <v/>
      </c>
      <c r="F159">
        <f>IF(ISNUMBER(E159),100-ABS(E159),"")</f>
        <v/>
      </c>
    </row>
    <row r="160">
      <c r="D160">
        <f>IF(AND(B160&lt;&gt;"",C160&lt;&gt;""),C160-B160,"")</f>
        <v/>
      </c>
      <c r="E160">
        <f>IF(AND(B160&lt;&gt;"",B160&lt;&gt;0,C160&lt;&gt;""),(C160-B160)/B160*100,"")</f>
        <v/>
      </c>
      <c r="F160">
        <f>IF(ISNUMBER(E160),100-ABS(E160),"")</f>
        <v/>
      </c>
    </row>
    <row r="161">
      <c r="D161">
        <f>IF(AND(B161&lt;&gt;"",C161&lt;&gt;""),C161-B161,"")</f>
        <v/>
      </c>
      <c r="E161">
        <f>IF(AND(B161&lt;&gt;"",B161&lt;&gt;0,C161&lt;&gt;""),(C161-B161)/B161*100,"")</f>
        <v/>
      </c>
      <c r="F161">
        <f>IF(ISNUMBER(E161),100-ABS(E161),"")</f>
        <v/>
      </c>
    </row>
    <row r="162">
      <c r="D162">
        <f>IF(AND(B162&lt;&gt;"",C162&lt;&gt;""),C162-B162,"")</f>
        <v/>
      </c>
      <c r="E162">
        <f>IF(AND(B162&lt;&gt;"",B162&lt;&gt;0,C162&lt;&gt;""),(C162-B162)/B162*100,"")</f>
        <v/>
      </c>
      <c r="F162">
        <f>IF(ISNUMBER(E162),100-ABS(E162),"")</f>
        <v/>
      </c>
    </row>
    <row r="163">
      <c r="D163">
        <f>IF(AND(B163&lt;&gt;"",C163&lt;&gt;""),C163-B163,"")</f>
        <v/>
      </c>
      <c r="E163">
        <f>IF(AND(B163&lt;&gt;"",B163&lt;&gt;0,C163&lt;&gt;""),(C163-B163)/B163*100,"")</f>
        <v/>
      </c>
      <c r="F163">
        <f>IF(ISNUMBER(E163),100-ABS(E163),"")</f>
        <v/>
      </c>
    </row>
    <row r="164">
      <c r="D164">
        <f>IF(AND(B164&lt;&gt;"",C164&lt;&gt;""),C164-B164,"")</f>
        <v/>
      </c>
      <c r="E164">
        <f>IF(AND(B164&lt;&gt;"",B164&lt;&gt;0,C164&lt;&gt;""),(C164-B164)/B164*100,"")</f>
        <v/>
      </c>
      <c r="F164">
        <f>IF(ISNUMBER(E164),100-ABS(E164),"")</f>
        <v/>
      </c>
    </row>
    <row r="165">
      <c r="D165">
        <f>IF(AND(B165&lt;&gt;"",C165&lt;&gt;""),C165-B165,"")</f>
        <v/>
      </c>
      <c r="E165">
        <f>IF(AND(B165&lt;&gt;"",B165&lt;&gt;0,C165&lt;&gt;""),(C165-B165)/B165*100,"")</f>
        <v/>
      </c>
      <c r="F165">
        <f>IF(ISNUMBER(E165),100-ABS(E165),"")</f>
        <v/>
      </c>
    </row>
    <row r="166">
      <c r="D166">
        <f>IF(AND(B166&lt;&gt;"",C166&lt;&gt;""),C166-B166,"")</f>
        <v/>
      </c>
      <c r="E166">
        <f>IF(AND(B166&lt;&gt;"",B166&lt;&gt;0,C166&lt;&gt;""),(C166-B166)/B166*100,"")</f>
        <v/>
      </c>
      <c r="F166">
        <f>IF(ISNUMBER(E166),100-ABS(E166),"")</f>
        <v/>
      </c>
    </row>
    <row r="167">
      <c r="D167">
        <f>IF(AND(B167&lt;&gt;"",C167&lt;&gt;""),C167-B167,"")</f>
        <v/>
      </c>
      <c r="E167">
        <f>IF(AND(B167&lt;&gt;"",B167&lt;&gt;0,C167&lt;&gt;""),(C167-B167)/B167*100,"")</f>
        <v/>
      </c>
      <c r="F167">
        <f>IF(ISNUMBER(E167),100-ABS(E167),"")</f>
        <v/>
      </c>
    </row>
    <row r="168">
      <c r="D168">
        <f>IF(AND(B168&lt;&gt;"",C168&lt;&gt;""),C168-B168,"")</f>
        <v/>
      </c>
      <c r="E168">
        <f>IF(AND(B168&lt;&gt;"",B168&lt;&gt;0,C168&lt;&gt;""),(C168-B168)/B168*100,"")</f>
        <v/>
      </c>
      <c r="F168">
        <f>IF(ISNUMBER(E168),100-ABS(E168),"")</f>
        <v/>
      </c>
    </row>
    <row r="169">
      <c r="D169">
        <f>IF(AND(B169&lt;&gt;"",C169&lt;&gt;""),C169-B169,"")</f>
        <v/>
      </c>
      <c r="E169">
        <f>IF(AND(B169&lt;&gt;"",B169&lt;&gt;0,C169&lt;&gt;""),(C169-B169)/B169*100,"")</f>
        <v/>
      </c>
      <c r="F169">
        <f>IF(ISNUMBER(E169),100-ABS(E169),"")</f>
        <v/>
      </c>
    </row>
    <row r="170">
      <c r="D170">
        <f>IF(AND(B170&lt;&gt;"",C170&lt;&gt;""),C170-B170,"")</f>
        <v/>
      </c>
      <c r="E170">
        <f>IF(AND(B170&lt;&gt;"",B170&lt;&gt;0,C170&lt;&gt;""),(C170-B170)/B170*100,"")</f>
        <v/>
      </c>
      <c r="F170">
        <f>IF(ISNUMBER(E170),100-ABS(E170),"")</f>
        <v/>
      </c>
    </row>
    <row r="171">
      <c r="D171">
        <f>IF(AND(B171&lt;&gt;"",C171&lt;&gt;""),C171-B171,"")</f>
        <v/>
      </c>
      <c r="E171">
        <f>IF(AND(B171&lt;&gt;"",B171&lt;&gt;0,C171&lt;&gt;""),(C171-B171)/B171*100,"")</f>
        <v/>
      </c>
      <c r="F171">
        <f>IF(ISNUMBER(E171),100-ABS(E171),"")</f>
        <v/>
      </c>
    </row>
    <row r="172">
      <c r="D172">
        <f>IF(AND(B172&lt;&gt;"",C172&lt;&gt;""),C172-B172,"")</f>
        <v/>
      </c>
      <c r="E172">
        <f>IF(AND(B172&lt;&gt;"",B172&lt;&gt;0,C172&lt;&gt;""),(C172-B172)/B172*100,"")</f>
        <v/>
      </c>
      <c r="F172">
        <f>IF(ISNUMBER(E172),100-ABS(E172),"")</f>
        <v/>
      </c>
    </row>
    <row r="173">
      <c r="D173">
        <f>IF(AND(B173&lt;&gt;"",C173&lt;&gt;""),C173-B173,"")</f>
        <v/>
      </c>
      <c r="E173">
        <f>IF(AND(B173&lt;&gt;"",B173&lt;&gt;0,C173&lt;&gt;""),(C173-B173)/B173*100,"")</f>
        <v/>
      </c>
      <c r="F173">
        <f>IF(ISNUMBER(E173),100-ABS(E173),"")</f>
        <v/>
      </c>
    </row>
    <row r="174">
      <c r="D174">
        <f>IF(AND(B174&lt;&gt;"",C174&lt;&gt;""),C174-B174,"")</f>
        <v/>
      </c>
      <c r="E174">
        <f>IF(AND(B174&lt;&gt;"",B174&lt;&gt;0,C174&lt;&gt;""),(C174-B174)/B174*100,"")</f>
        <v/>
      </c>
      <c r="F174">
        <f>IF(ISNUMBER(E174),100-ABS(E174),"")</f>
        <v/>
      </c>
    </row>
    <row r="175">
      <c r="D175">
        <f>IF(AND(B175&lt;&gt;"",C175&lt;&gt;""),C175-B175,"")</f>
        <v/>
      </c>
      <c r="E175">
        <f>IF(AND(B175&lt;&gt;"",B175&lt;&gt;0,C175&lt;&gt;""),(C175-B175)/B175*100,"")</f>
        <v/>
      </c>
      <c r="F175">
        <f>IF(ISNUMBER(E175),100-ABS(E175),"")</f>
        <v/>
      </c>
    </row>
    <row r="176">
      <c r="D176">
        <f>IF(AND(B176&lt;&gt;"",C176&lt;&gt;""),C176-B176,"")</f>
        <v/>
      </c>
      <c r="E176">
        <f>IF(AND(B176&lt;&gt;"",B176&lt;&gt;0,C176&lt;&gt;""),(C176-B176)/B176*100,"")</f>
        <v/>
      </c>
      <c r="F176">
        <f>IF(ISNUMBER(E176),100-ABS(E176),"")</f>
        <v/>
      </c>
    </row>
    <row r="177">
      <c r="D177">
        <f>IF(AND(B177&lt;&gt;"",C177&lt;&gt;""),C177-B177,"")</f>
        <v/>
      </c>
      <c r="E177">
        <f>IF(AND(B177&lt;&gt;"",B177&lt;&gt;0,C177&lt;&gt;""),(C177-B177)/B177*100,"")</f>
        <v/>
      </c>
      <c r="F177">
        <f>IF(ISNUMBER(E177),100-ABS(E177),"")</f>
        <v/>
      </c>
    </row>
    <row r="178">
      <c r="D178">
        <f>IF(AND(B178&lt;&gt;"",C178&lt;&gt;""),C178-B178,"")</f>
        <v/>
      </c>
      <c r="E178">
        <f>IF(AND(B178&lt;&gt;"",B178&lt;&gt;0,C178&lt;&gt;""),(C178-B178)/B178*100,"")</f>
        <v/>
      </c>
      <c r="F178">
        <f>IF(ISNUMBER(E178),100-ABS(E178),"")</f>
        <v/>
      </c>
    </row>
    <row r="179">
      <c r="D179">
        <f>IF(AND(B179&lt;&gt;"",C179&lt;&gt;""),C179-B179,"")</f>
        <v/>
      </c>
      <c r="E179">
        <f>IF(AND(B179&lt;&gt;"",B179&lt;&gt;0,C179&lt;&gt;""),(C179-B179)/B179*100,"")</f>
        <v/>
      </c>
      <c r="F179">
        <f>IF(ISNUMBER(E179),100-ABS(E179),"")</f>
        <v/>
      </c>
    </row>
    <row r="180">
      <c r="D180">
        <f>IF(AND(B180&lt;&gt;"",C180&lt;&gt;""),C180-B180,"")</f>
        <v/>
      </c>
      <c r="E180">
        <f>IF(AND(B180&lt;&gt;"",B180&lt;&gt;0,C180&lt;&gt;""),(C180-B180)/B180*100,"")</f>
        <v/>
      </c>
      <c r="F180">
        <f>IF(ISNUMBER(E180),100-ABS(E180),"")</f>
        <v/>
      </c>
    </row>
    <row r="181">
      <c r="D181">
        <f>IF(AND(B181&lt;&gt;"",C181&lt;&gt;""),C181-B181,"")</f>
        <v/>
      </c>
      <c r="E181">
        <f>IF(AND(B181&lt;&gt;"",B181&lt;&gt;0,C181&lt;&gt;""),(C181-B181)/B181*100,"")</f>
        <v/>
      </c>
      <c r="F181">
        <f>IF(ISNUMBER(E181),100-ABS(E181),"")</f>
        <v/>
      </c>
    </row>
    <row r="182">
      <c r="D182">
        <f>IF(AND(B182&lt;&gt;"",C182&lt;&gt;""),C182-B182,"")</f>
        <v/>
      </c>
      <c r="E182">
        <f>IF(AND(B182&lt;&gt;"",B182&lt;&gt;0,C182&lt;&gt;""),(C182-B182)/B182*100,"")</f>
        <v/>
      </c>
      <c r="F182">
        <f>IF(ISNUMBER(E182),100-ABS(E182),"")</f>
        <v/>
      </c>
    </row>
    <row r="183">
      <c r="D183">
        <f>IF(AND(B183&lt;&gt;"",C183&lt;&gt;""),C183-B183,"")</f>
        <v/>
      </c>
      <c r="E183">
        <f>IF(AND(B183&lt;&gt;"",B183&lt;&gt;0,C183&lt;&gt;""),(C183-B183)/B183*100,"")</f>
        <v/>
      </c>
      <c r="F183">
        <f>IF(ISNUMBER(E183),100-ABS(E183),"")</f>
        <v/>
      </c>
    </row>
    <row r="184">
      <c r="D184">
        <f>IF(AND(B184&lt;&gt;"",C184&lt;&gt;""),C184-B184,"")</f>
        <v/>
      </c>
      <c r="E184">
        <f>IF(AND(B184&lt;&gt;"",B184&lt;&gt;0,C184&lt;&gt;""),(C184-B184)/B184*100,"")</f>
        <v/>
      </c>
      <c r="F184">
        <f>IF(ISNUMBER(E184),100-ABS(E184),"")</f>
        <v/>
      </c>
    </row>
    <row r="185">
      <c r="D185">
        <f>IF(AND(B185&lt;&gt;"",C185&lt;&gt;""),C185-B185,"")</f>
        <v/>
      </c>
      <c r="E185">
        <f>IF(AND(B185&lt;&gt;"",B185&lt;&gt;0,C185&lt;&gt;""),(C185-B185)/B185*100,"")</f>
        <v/>
      </c>
      <c r="F185">
        <f>IF(ISNUMBER(E185),100-ABS(E185),"")</f>
        <v/>
      </c>
    </row>
    <row r="186">
      <c r="D186">
        <f>IF(AND(B186&lt;&gt;"",C186&lt;&gt;""),C186-B186,"")</f>
        <v/>
      </c>
      <c r="E186">
        <f>IF(AND(B186&lt;&gt;"",B186&lt;&gt;0,C186&lt;&gt;""),(C186-B186)/B186*100,"")</f>
        <v/>
      </c>
      <c r="F186">
        <f>IF(ISNUMBER(E186),100-ABS(E186),"")</f>
        <v/>
      </c>
    </row>
    <row r="187">
      <c r="D187">
        <f>IF(AND(B187&lt;&gt;"",C187&lt;&gt;""),C187-B187,"")</f>
        <v/>
      </c>
      <c r="E187">
        <f>IF(AND(B187&lt;&gt;"",B187&lt;&gt;0,C187&lt;&gt;""),(C187-B187)/B187*100,"")</f>
        <v/>
      </c>
      <c r="F187">
        <f>IF(ISNUMBER(E187),100-ABS(E187),"")</f>
        <v/>
      </c>
    </row>
    <row r="188">
      <c r="D188">
        <f>IF(AND(B188&lt;&gt;"",C188&lt;&gt;""),C188-B188,"")</f>
        <v/>
      </c>
      <c r="E188">
        <f>IF(AND(B188&lt;&gt;"",B188&lt;&gt;0,C188&lt;&gt;""),(C188-B188)/B188*100,"")</f>
        <v/>
      </c>
      <c r="F188">
        <f>IF(ISNUMBER(E188),100-ABS(E188),"")</f>
        <v/>
      </c>
    </row>
    <row r="189">
      <c r="D189">
        <f>IF(AND(B189&lt;&gt;"",C189&lt;&gt;""),C189-B189,"")</f>
        <v/>
      </c>
      <c r="E189">
        <f>IF(AND(B189&lt;&gt;"",B189&lt;&gt;0,C189&lt;&gt;""),(C189-B189)/B189*100,"")</f>
        <v/>
      </c>
      <c r="F189">
        <f>IF(ISNUMBER(E189),100-ABS(E189),"")</f>
        <v/>
      </c>
    </row>
    <row r="190">
      <c r="D190">
        <f>IF(AND(B190&lt;&gt;"",C190&lt;&gt;""),C190-B190,"")</f>
        <v/>
      </c>
      <c r="E190">
        <f>IF(AND(B190&lt;&gt;"",B190&lt;&gt;0,C190&lt;&gt;""),(C190-B190)/B190*100,"")</f>
        <v/>
      </c>
      <c r="F190">
        <f>IF(ISNUMBER(E190),100-ABS(E190),"")</f>
        <v/>
      </c>
    </row>
    <row r="191">
      <c r="D191">
        <f>IF(AND(B191&lt;&gt;"",C191&lt;&gt;""),C191-B191,"")</f>
        <v/>
      </c>
      <c r="E191">
        <f>IF(AND(B191&lt;&gt;"",B191&lt;&gt;0,C191&lt;&gt;""),(C191-B191)/B191*100,"")</f>
        <v/>
      </c>
      <c r="F191">
        <f>IF(ISNUMBER(E191),100-ABS(E191),"")</f>
        <v/>
      </c>
    </row>
    <row r="192">
      <c r="D192">
        <f>IF(AND(B192&lt;&gt;"",C192&lt;&gt;""),C192-B192,"")</f>
        <v/>
      </c>
      <c r="E192">
        <f>IF(AND(B192&lt;&gt;"",B192&lt;&gt;0,C192&lt;&gt;""),(C192-B192)/B192*100,"")</f>
        <v/>
      </c>
      <c r="F192">
        <f>IF(ISNUMBER(E192),100-ABS(E192),"")</f>
        <v/>
      </c>
    </row>
    <row r="193">
      <c r="D193">
        <f>IF(AND(B193&lt;&gt;"",C193&lt;&gt;""),C193-B193,"")</f>
        <v/>
      </c>
      <c r="E193">
        <f>IF(AND(B193&lt;&gt;"",B193&lt;&gt;0,C193&lt;&gt;""),(C193-B193)/B193*100,"")</f>
        <v/>
      </c>
      <c r="F193">
        <f>IF(ISNUMBER(E193),100-ABS(E193),"")</f>
        <v/>
      </c>
    </row>
    <row r="194">
      <c r="D194">
        <f>IF(AND(B194&lt;&gt;"",C194&lt;&gt;""),C194-B194,"")</f>
        <v/>
      </c>
      <c r="E194">
        <f>IF(AND(B194&lt;&gt;"",B194&lt;&gt;0,C194&lt;&gt;""),(C194-B194)/B194*100,"")</f>
        <v/>
      </c>
      <c r="F194">
        <f>IF(ISNUMBER(E194),100-ABS(E194),"")</f>
        <v/>
      </c>
    </row>
    <row r="195">
      <c r="D195">
        <f>IF(AND(B195&lt;&gt;"",C195&lt;&gt;""),C195-B195,"")</f>
        <v/>
      </c>
      <c r="E195">
        <f>IF(AND(B195&lt;&gt;"",B195&lt;&gt;0,C195&lt;&gt;""),(C195-B195)/B195*100,"")</f>
        <v/>
      </c>
      <c r="F195">
        <f>IF(ISNUMBER(E195),100-ABS(E195),"")</f>
        <v/>
      </c>
    </row>
    <row r="196">
      <c r="D196">
        <f>IF(AND(B196&lt;&gt;"",C196&lt;&gt;""),C196-B196,"")</f>
        <v/>
      </c>
      <c r="E196">
        <f>IF(AND(B196&lt;&gt;"",B196&lt;&gt;0,C196&lt;&gt;""),(C196-B196)/B196*100,"")</f>
        <v/>
      </c>
      <c r="F196">
        <f>IF(ISNUMBER(E196),100-ABS(E196),"")</f>
        <v/>
      </c>
    </row>
    <row r="197">
      <c r="D197">
        <f>IF(AND(B197&lt;&gt;"",C197&lt;&gt;""),C197-B197,"")</f>
        <v/>
      </c>
      <c r="E197">
        <f>IF(AND(B197&lt;&gt;"",B197&lt;&gt;0,C197&lt;&gt;""),(C197-B197)/B197*100,"")</f>
        <v/>
      </c>
      <c r="F197">
        <f>IF(ISNUMBER(E197),100-ABS(E197),"")</f>
        <v/>
      </c>
    </row>
    <row r="198">
      <c r="D198">
        <f>IF(AND(B198&lt;&gt;"",C198&lt;&gt;""),C198-B198,"")</f>
        <v/>
      </c>
      <c r="E198">
        <f>IF(AND(B198&lt;&gt;"",B198&lt;&gt;0,C198&lt;&gt;""),(C198-B198)/B198*100,"")</f>
        <v/>
      </c>
      <c r="F198">
        <f>IF(ISNUMBER(E198),100-ABS(E198),"")</f>
        <v/>
      </c>
    </row>
    <row r="199">
      <c r="D199">
        <f>IF(AND(B199&lt;&gt;"",C199&lt;&gt;""),C199-B199,"")</f>
        <v/>
      </c>
      <c r="E199">
        <f>IF(AND(B199&lt;&gt;"",B199&lt;&gt;0,C199&lt;&gt;""),(C199-B199)/B199*100,"")</f>
        <v/>
      </c>
      <c r="F199">
        <f>IF(ISNUMBER(E199),100-ABS(E199),"")</f>
        <v/>
      </c>
    </row>
    <row r="200">
      <c r="D200">
        <f>IF(AND(B200&lt;&gt;"",C200&lt;&gt;""),C200-B200,"")</f>
        <v/>
      </c>
      <c r="E200">
        <f>IF(AND(B200&lt;&gt;"",B200&lt;&gt;0,C200&lt;&gt;""),(C200-B200)/B200*100,"")</f>
        <v/>
      </c>
      <c r="F200">
        <f>IF(ISNUMBER(E200),100-ABS(E200),"")</f>
        <v/>
      </c>
    </row>
    <row r="201">
      <c r="D201">
        <f>IF(AND(B201&lt;&gt;"",C201&lt;&gt;""),C201-B201,"")</f>
        <v/>
      </c>
      <c r="E201">
        <f>IF(AND(B201&lt;&gt;"",B201&lt;&gt;0,C201&lt;&gt;""),(C201-B201)/B201*100,"")</f>
        <v/>
      </c>
      <c r="F201">
        <f>IF(ISNUMBER(E201),100-ABS(E201),"")</f>
        <v/>
      </c>
    </row>
    <row r="202">
      <c r="D202">
        <f>IF(AND(B202&lt;&gt;"",C202&lt;&gt;""),C202-B202,"")</f>
        <v/>
      </c>
      <c r="E202">
        <f>IF(AND(B202&lt;&gt;"",B202&lt;&gt;0,C202&lt;&gt;""),(C202-B202)/B202*100,"")</f>
        <v/>
      </c>
      <c r="F202">
        <f>IF(ISNUMBER(E202),100-ABS(E202),"")</f>
        <v/>
      </c>
    </row>
    <row r="203">
      <c r="D203">
        <f>IF(AND(B203&lt;&gt;"",C203&lt;&gt;""),C203-B203,"")</f>
        <v/>
      </c>
      <c r="E203">
        <f>IF(AND(B203&lt;&gt;"",B203&lt;&gt;0,C203&lt;&gt;""),(C203-B203)/B203*100,"")</f>
        <v/>
      </c>
      <c r="F203">
        <f>IF(ISNUMBER(E203),100-ABS(E203),"")</f>
        <v/>
      </c>
    </row>
    <row r="204">
      <c r="D204">
        <f>IF(AND(B204&lt;&gt;"",C204&lt;&gt;""),C204-B204,"")</f>
        <v/>
      </c>
      <c r="E204">
        <f>IF(AND(B204&lt;&gt;"",B204&lt;&gt;0,C204&lt;&gt;""),(C204-B204)/B204*100,"")</f>
        <v/>
      </c>
      <c r="F204">
        <f>IF(ISNUMBER(E204),100-ABS(E204),"")</f>
        <v/>
      </c>
    </row>
    <row r="205">
      <c r="D205">
        <f>IF(AND(B205&lt;&gt;"",C205&lt;&gt;""),C205-B205,"")</f>
        <v/>
      </c>
      <c r="E205">
        <f>IF(AND(B205&lt;&gt;"",B205&lt;&gt;0,C205&lt;&gt;""),(C205-B205)/B205*100,"")</f>
        <v/>
      </c>
      <c r="F205">
        <f>IF(ISNUMBER(E205),100-ABS(E205),"")</f>
        <v/>
      </c>
    </row>
    <row r="206">
      <c r="D206">
        <f>IF(AND(B206&lt;&gt;"",C206&lt;&gt;""),C206-B206,"")</f>
        <v/>
      </c>
      <c r="E206">
        <f>IF(AND(B206&lt;&gt;"",B206&lt;&gt;0,C206&lt;&gt;""),(C206-B206)/B206*100,"")</f>
        <v/>
      </c>
      <c r="F206">
        <f>IF(ISNUMBER(E206),100-ABS(E206),"")</f>
        <v/>
      </c>
    </row>
    <row r="207">
      <c r="D207">
        <f>IF(AND(B207&lt;&gt;"",C207&lt;&gt;""),C207-B207,"")</f>
        <v/>
      </c>
      <c r="E207">
        <f>IF(AND(B207&lt;&gt;"",B207&lt;&gt;0,C207&lt;&gt;""),(C207-B207)/B207*100,"")</f>
        <v/>
      </c>
      <c r="F207">
        <f>IF(ISNUMBER(E207),100-ABS(E207),"")</f>
        <v/>
      </c>
    </row>
    <row r="208">
      <c r="D208">
        <f>IF(AND(B208&lt;&gt;"",C208&lt;&gt;""),C208-B208,"")</f>
        <v/>
      </c>
      <c r="E208">
        <f>IF(AND(B208&lt;&gt;"",B208&lt;&gt;0,C208&lt;&gt;""),(C208-B208)/B208*100,"")</f>
        <v/>
      </c>
      <c r="F208">
        <f>IF(ISNUMBER(E208),100-ABS(E208),"")</f>
        <v/>
      </c>
    </row>
    <row r="209">
      <c r="D209">
        <f>IF(AND(B209&lt;&gt;"",C209&lt;&gt;""),C209-B209,"")</f>
        <v/>
      </c>
      <c r="E209">
        <f>IF(AND(B209&lt;&gt;"",B209&lt;&gt;0,C209&lt;&gt;""),(C209-B209)/B209*100,"")</f>
        <v/>
      </c>
      <c r="F209">
        <f>IF(ISNUMBER(E209),100-ABS(E209),"")</f>
        <v/>
      </c>
    </row>
    <row r="210">
      <c r="D210">
        <f>IF(AND(B210&lt;&gt;"",C210&lt;&gt;""),C210-B210,"")</f>
        <v/>
      </c>
      <c r="E210">
        <f>IF(AND(B210&lt;&gt;"",B210&lt;&gt;0,C210&lt;&gt;""),(C210-B210)/B210*100,"")</f>
        <v/>
      </c>
      <c r="F210">
        <f>IF(ISNUMBER(E210),100-ABS(E210),"")</f>
        <v/>
      </c>
    </row>
    <row r="211">
      <c r="D211">
        <f>IF(AND(B211&lt;&gt;"",C211&lt;&gt;""),C211-B211,"")</f>
        <v/>
      </c>
      <c r="E211">
        <f>IF(AND(B211&lt;&gt;"",B211&lt;&gt;0,C211&lt;&gt;""),(C211-B211)/B211*100,"")</f>
        <v/>
      </c>
      <c r="F211">
        <f>IF(ISNUMBER(E211),100-ABS(E211),"")</f>
        <v/>
      </c>
    </row>
    <row r="212">
      <c r="D212">
        <f>IF(AND(B212&lt;&gt;"",C212&lt;&gt;""),C212-B212,"")</f>
        <v/>
      </c>
      <c r="E212">
        <f>IF(AND(B212&lt;&gt;"",B212&lt;&gt;0,C212&lt;&gt;""),(C212-B212)/B212*100,"")</f>
        <v/>
      </c>
      <c r="F212">
        <f>IF(ISNUMBER(E212),100-ABS(E212),"")</f>
        <v/>
      </c>
    </row>
    <row r="213">
      <c r="D213">
        <f>IF(AND(B213&lt;&gt;"",C213&lt;&gt;""),C213-B213,"")</f>
        <v/>
      </c>
      <c r="E213">
        <f>IF(AND(B213&lt;&gt;"",B213&lt;&gt;0,C213&lt;&gt;""),(C213-B213)/B213*100,"")</f>
        <v/>
      </c>
      <c r="F213">
        <f>IF(ISNUMBER(E213),100-ABS(E213),"")</f>
        <v/>
      </c>
    </row>
    <row r="214">
      <c r="D214">
        <f>IF(AND(B214&lt;&gt;"",C214&lt;&gt;""),C214-B214,"")</f>
        <v/>
      </c>
      <c r="E214">
        <f>IF(AND(B214&lt;&gt;"",B214&lt;&gt;0,C214&lt;&gt;""),(C214-B214)/B214*100,"")</f>
        <v/>
      </c>
      <c r="F214">
        <f>IF(ISNUMBER(E214),100-ABS(E214),"")</f>
        <v/>
      </c>
    </row>
    <row r="215">
      <c r="D215">
        <f>IF(AND(B215&lt;&gt;"",C215&lt;&gt;""),C215-B215,"")</f>
        <v/>
      </c>
      <c r="E215">
        <f>IF(AND(B215&lt;&gt;"",B215&lt;&gt;0,C215&lt;&gt;""),(C215-B215)/B215*100,"")</f>
        <v/>
      </c>
      <c r="F215">
        <f>IF(ISNUMBER(E215),100-ABS(E215),"")</f>
        <v/>
      </c>
    </row>
    <row r="216">
      <c r="D216">
        <f>IF(AND(B216&lt;&gt;"",C216&lt;&gt;""),C216-B216,"")</f>
        <v/>
      </c>
      <c r="E216">
        <f>IF(AND(B216&lt;&gt;"",B216&lt;&gt;0,C216&lt;&gt;""),(C216-B216)/B216*100,"")</f>
        <v/>
      </c>
      <c r="F216">
        <f>IF(ISNUMBER(E216),100-ABS(E216),"")</f>
        <v/>
      </c>
    </row>
    <row r="217">
      <c r="D217">
        <f>IF(AND(B217&lt;&gt;"",C217&lt;&gt;""),C217-B217,"")</f>
        <v/>
      </c>
      <c r="E217">
        <f>IF(AND(B217&lt;&gt;"",B217&lt;&gt;0,C217&lt;&gt;""),(C217-B217)/B217*100,"")</f>
        <v/>
      </c>
      <c r="F217">
        <f>IF(ISNUMBER(E217),100-ABS(E217),"")</f>
        <v/>
      </c>
    </row>
    <row r="218">
      <c r="D218">
        <f>IF(AND(B218&lt;&gt;"",C218&lt;&gt;""),C218-B218,"")</f>
        <v/>
      </c>
      <c r="E218">
        <f>IF(AND(B218&lt;&gt;"",B218&lt;&gt;0,C218&lt;&gt;""),(C218-B218)/B218*100,"")</f>
        <v/>
      </c>
      <c r="F218">
        <f>IF(ISNUMBER(E218),100-ABS(E218),"")</f>
        <v/>
      </c>
    </row>
    <row r="219">
      <c r="D219">
        <f>IF(AND(B219&lt;&gt;"",C219&lt;&gt;""),C219-B219,"")</f>
        <v/>
      </c>
      <c r="E219">
        <f>IF(AND(B219&lt;&gt;"",B219&lt;&gt;0,C219&lt;&gt;""),(C219-B219)/B219*100,"")</f>
        <v/>
      </c>
      <c r="F219">
        <f>IF(ISNUMBER(E219),100-ABS(E219),"")</f>
        <v/>
      </c>
    </row>
    <row r="220">
      <c r="D220">
        <f>IF(AND(B220&lt;&gt;"",C220&lt;&gt;""),C220-B220,"")</f>
        <v/>
      </c>
      <c r="E220">
        <f>IF(AND(B220&lt;&gt;"",B220&lt;&gt;0,C220&lt;&gt;""),(C220-B220)/B220*100,"")</f>
        <v/>
      </c>
      <c r="F220">
        <f>IF(ISNUMBER(E220),100-ABS(E220),"")</f>
        <v/>
      </c>
    </row>
    <row r="221">
      <c r="D221">
        <f>IF(AND(B221&lt;&gt;"",C221&lt;&gt;""),C221-B221,"")</f>
        <v/>
      </c>
      <c r="E221">
        <f>IF(AND(B221&lt;&gt;"",B221&lt;&gt;0,C221&lt;&gt;""),(C221-B221)/B221*100,"")</f>
        <v/>
      </c>
      <c r="F221">
        <f>IF(ISNUMBER(E221),100-ABS(E221),"")</f>
        <v/>
      </c>
    </row>
    <row r="222">
      <c r="D222">
        <f>IF(AND(B222&lt;&gt;"",C222&lt;&gt;""),C222-B222,"")</f>
        <v/>
      </c>
      <c r="E222">
        <f>IF(AND(B222&lt;&gt;"",B222&lt;&gt;0,C222&lt;&gt;""),(C222-B222)/B222*100,"")</f>
        <v/>
      </c>
      <c r="F222">
        <f>IF(ISNUMBER(E222),100-ABS(E222),"")</f>
        <v/>
      </c>
    </row>
    <row r="223">
      <c r="D223">
        <f>IF(AND(B223&lt;&gt;"",C223&lt;&gt;""),C223-B223,"")</f>
        <v/>
      </c>
      <c r="E223">
        <f>IF(AND(B223&lt;&gt;"",B223&lt;&gt;0,C223&lt;&gt;""),(C223-B223)/B223*100,"")</f>
        <v/>
      </c>
      <c r="F223">
        <f>IF(ISNUMBER(E223),100-ABS(E223),"")</f>
        <v/>
      </c>
    </row>
    <row r="224">
      <c r="D224">
        <f>IF(AND(B224&lt;&gt;"",C224&lt;&gt;""),C224-B224,"")</f>
        <v/>
      </c>
      <c r="E224">
        <f>IF(AND(B224&lt;&gt;"",B224&lt;&gt;0,C224&lt;&gt;""),(C224-B224)/B224*100,"")</f>
        <v/>
      </c>
      <c r="F224">
        <f>IF(ISNUMBER(E224),100-ABS(E224),"")</f>
        <v/>
      </c>
    </row>
    <row r="225">
      <c r="D225">
        <f>IF(AND(B225&lt;&gt;"",C225&lt;&gt;""),C225-B225,"")</f>
        <v/>
      </c>
      <c r="E225">
        <f>IF(AND(B225&lt;&gt;"",B225&lt;&gt;0,C225&lt;&gt;""),(C225-B225)/B225*100,"")</f>
        <v/>
      </c>
      <c r="F225">
        <f>IF(ISNUMBER(E225),100-ABS(E225),"")</f>
        <v/>
      </c>
    </row>
    <row r="226">
      <c r="D226">
        <f>IF(AND(B226&lt;&gt;"",C226&lt;&gt;""),C226-B226,"")</f>
        <v/>
      </c>
      <c r="E226">
        <f>IF(AND(B226&lt;&gt;"",B226&lt;&gt;0,C226&lt;&gt;""),(C226-B226)/B226*100,"")</f>
        <v/>
      </c>
      <c r="F226">
        <f>IF(ISNUMBER(E226),100-ABS(E226),"")</f>
        <v/>
      </c>
    </row>
    <row r="227">
      <c r="D227">
        <f>IF(AND(B227&lt;&gt;"",C227&lt;&gt;""),C227-B227,"")</f>
        <v/>
      </c>
      <c r="E227">
        <f>IF(AND(B227&lt;&gt;"",B227&lt;&gt;0,C227&lt;&gt;""),(C227-B227)/B227*100,"")</f>
        <v/>
      </c>
      <c r="F227">
        <f>IF(ISNUMBER(E227),100-ABS(E227),"")</f>
        <v/>
      </c>
    </row>
    <row r="228">
      <c r="D228">
        <f>IF(AND(B228&lt;&gt;"",C228&lt;&gt;""),C228-B228,"")</f>
        <v/>
      </c>
      <c r="E228">
        <f>IF(AND(B228&lt;&gt;"",B228&lt;&gt;0,C228&lt;&gt;""),(C228-B228)/B228*100,"")</f>
        <v/>
      </c>
      <c r="F228">
        <f>IF(ISNUMBER(E228),100-ABS(E228),"")</f>
        <v/>
      </c>
    </row>
    <row r="229">
      <c r="D229">
        <f>IF(AND(B229&lt;&gt;"",C229&lt;&gt;""),C229-B229,"")</f>
        <v/>
      </c>
      <c r="E229">
        <f>IF(AND(B229&lt;&gt;"",B229&lt;&gt;0,C229&lt;&gt;""),(C229-B229)/B229*100,"")</f>
        <v/>
      </c>
      <c r="F229">
        <f>IF(ISNUMBER(E229),100-ABS(E229),"")</f>
        <v/>
      </c>
    </row>
    <row r="230">
      <c r="D230">
        <f>IF(AND(B230&lt;&gt;"",C230&lt;&gt;""),C230-B230,"")</f>
        <v/>
      </c>
      <c r="E230">
        <f>IF(AND(B230&lt;&gt;"",B230&lt;&gt;0,C230&lt;&gt;""),(C230-B230)/B230*100,"")</f>
        <v/>
      </c>
      <c r="F230">
        <f>IF(ISNUMBER(E230),100-ABS(E230),"")</f>
        <v/>
      </c>
    </row>
    <row r="231">
      <c r="D231">
        <f>IF(AND(B231&lt;&gt;"",C231&lt;&gt;""),C231-B231,"")</f>
        <v/>
      </c>
      <c r="E231">
        <f>IF(AND(B231&lt;&gt;"",B231&lt;&gt;0,C231&lt;&gt;""),(C231-B231)/B231*100,"")</f>
        <v/>
      </c>
      <c r="F231">
        <f>IF(ISNUMBER(E231),100-ABS(E231),"")</f>
        <v/>
      </c>
    </row>
    <row r="232">
      <c r="D232">
        <f>IF(AND(B232&lt;&gt;"",C232&lt;&gt;""),C232-B232,"")</f>
        <v/>
      </c>
      <c r="E232">
        <f>IF(AND(B232&lt;&gt;"",B232&lt;&gt;0,C232&lt;&gt;""),(C232-B232)/B232*100,"")</f>
        <v/>
      </c>
      <c r="F232">
        <f>IF(ISNUMBER(E232),100-ABS(E232),"")</f>
        <v/>
      </c>
    </row>
    <row r="233">
      <c r="D233">
        <f>IF(AND(B233&lt;&gt;"",C233&lt;&gt;""),C233-B233,"")</f>
        <v/>
      </c>
      <c r="E233">
        <f>IF(AND(B233&lt;&gt;"",B233&lt;&gt;0,C233&lt;&gt;""),(C233-B233)/B233*100,"")</f>
        <v/>
      </c>
      <c r="F233">
        <f>IF(ISNUMBER(E233),100-ABS(E233),"")</f>
        <v/>
      </c>
    </row>
    <row r="234">
      <c r="D234">
        <f>IF(AND(B234&lt;&gt;"",C234&lt;&gt;""),C234-B234,"")</f>
        <v/>
      </c>
      <c r="E234">
        <f>IF(AND(B234&lt;&gt;"",B234&lt;&gt;0,C234&lt;&gt;""),(C234-B234)/B234*100,"")</f>
        <v/>
      </c>
      <c r="F234">
        <f>IF(ISNUMBER(E234),100-ABS(E234),"")</f>
        <v/>
      </c>
    </row>
    <row r="235">
      <c r="D235">
        <f>IF(AND(B235&lt;&gt;"",C235&lt;&gt;""),C235-B235,"")</f>
        <v/>
      </c>
      <c r="E235">
        <f>IF(AND(B235&lt;&gt;"",B235&lt;&gt;0,C235&lt;&gt;""),(C235-B235)/B235*100,"")</f>
        <v/>
      </c>
      <c r="F235">
        <f>IF(ISNUMBER(E235),100-ABS(E235),"")</f>
        <v/>
      </c>
    </row>
    <row r="236">
      <c r="D236">
        <f>IF(AND(B236&lt;&gt;"",C236&lt;&gt;""),C236-B236,"")</f>
        <v/>
      </c>
      <c r="E236">
        <f>IF(AND(B236&lt;&gt;"",B236&lt;&gt;0,C236&lt;&gt;""),(C236-B236)/B236*100,"")</f>
        <v/>
      </c>
      <c r="F236">
        <f>IF(ISNUMBER(E236),100-ABS(E236),"")</f>
        <v/>
      </c>
    </row>
    <row r="237">
      <c r="D237">
        <f>IF(AND(B237&lt;&gt;"",C237&lt;&gt;""),C237-B237,"")</f>
        <v/>
      </c>
      <c r="E237">
        <f>IF(AND(B237&lt;&gt;"",B237&lt;&gt;0,C237&lt;&gt;""),(C237-B237)/B237*100,"")</f>
        <v/>
      </c>
      <c r="F237">
        <f>IF(ISNUMBER(E237),100-ABS(E237),"")</f>
        <v/>
      </c>
    </row>
    <row r="238">
      <c r="D238">
        <f>IF(AND(B238&lt;&gt;"",C238&lt;&gt;""),C238-B238,"")</f>
        <v/>
      </c>
      <c r="E238">
        <f>IF(AND(B238&lt;&gt;"",B238&lt;&gt;0,C238&lt;&gt;""),(C238-B238)/B238*100,"")</f>
        <v/>
      </c>
      <c r="F238">
        <f>IF(ISNUMBER(E238),100-ABS(E238),"")</f>
        <v/>
      </c>
    </row>
    <row r="239">
      <c r="D239">
        <f>IF(AND(B239&lt;&gt;"",C239&lt;&gt;""),C239-B239,"")</f>
        <v/>
      </c>
      <c r="E239">
        <f>IF(AND(B239&lt;&gt;"",B239&lt;&gt;0,C239&lt;&gt;""),(C239-B239)/B239*100,"")</f>
        <v/>
      </c>
      <c r="F239">
        <f>IF(ISNUMBER(E239),100-ABS(E239),"")</f>
        <v/>
      </c>
    </row>
    <row r="240">
      <c r="D240">
        <f>IF(AND(B240&lt;&gt;"",C240&lt;&gt;""),C240-B240,"")</f>
        <v/>
      </c>
      <c r="E240">
        <f>IF(AND(B240&lt;&gt;"",B240&lt;&gt;0,C240&lt;&gt;""),(C240-B240)/B240*100,"")</f>
        <v/>
      </c>
      <c r="F240">
        <f>IF(ISNUMBER(E240),100-ABS(E240),"")</f>
        <v/>
      </c>
    </row>
    <row r="241">
      <c r="D241">
        <f>IF(AND(B241&lt;&gt;"",C241&lt;&gt;""),C241-B241,"")</f>
        <v/>
      </c>
      <c r="E241">
        <f>IF(AND(B241&lt;&gt;"",B241&lt;&gt;0,C241&lt;&gt;""),(C241-B241)/B241*100,"")</f>
        <v/>
      </c>
      <c r="F241">
        <f>IF(ISNUMBER(E241),100-ABS(E241),"")</f>
        <v/>
      </c>
    </row>
    <row r="242">
      <c r="D242">
        <f>IF(AND(B242&lt;&gt;"",C242&lt;&gt;""),C242-B242,"")</f>
        <v/>
      </c>
      <c r="E242">
        <f>IF(AND(B242&lt;&gt;"",B242&lt;&gt;0,C242&lt;&gt;""),(C242-B242)/B242*100,"")</f>
        <v/>
      </c>
      <c r="F242">
        <f>IF(ISNUMBER(E242),100-ABS(E242),"")</f>
        <v/>
      </c>
    </row>
    <row r="243">
      <c r="D243">
        <f>IF(AND(B243&lt;&gt;"",C243&lt;&gt;""),C243-B243,"")</f>
        <v/>
      </c>
      <c r="E243">
        <f>IF(AND(B243&lt;&gt;"",B243&lt;&gt;0,C243&lt;&gt;""),(C243-B243)/B243*100,"")</f>
        <v/>
      </c>
      <c r="F243">
        <f>IF(ISNUMBER(E243),100-ABS(E243),"")</f>
        <v/>
      </c>
    </row>
    <row r="244">
      <c r="D244">
        <f>IF(AND(B244&lt;&gt;"",C244&lt;&gt;""),C244-B244,"")</f>
        <v/>
      </c>
      <c r="E244">
        <f>IF(AND(B244&lt;&gt;"",B244&lt;&gt;0,C244&lt;&gt;""),(C244-B244)/B244*100,"")</f>
        <v/>
      </c>
      <c r="F244">
        <f>IF(ISNUMBER(E244),100-ABS(E244),"")</f>
        <v/>
      </c>
    </row>
    <row r="245">
      <c r="D245">
        <f>IF(AND(B245&lt;&gt;"",C245&lt;&gt;""),C245-B245,"")</f>
        <v/>
      </c>
      <c r="E245">
        <f>IF(AND(B245&lt;&gt;"",B245&lt;&gt;0,C245&lt;&gt;""),(C245-B245)/B245*100,"")</f>
        <v/>
      </c>
      <c r="F245">
        <f>IF(ISNUMBER(E245),100-ABS(E245),"")</f>
        <v/>
      </c>
    </row>
    <row r="246">
      <c r="D246">
        <f>IF(AND(B246&lt;&gt;"",C246&lt;&gt;""),C246-B246,"")</f>
        <v/>
      </c>
      <c r="E246">
        <f>IF(AND(B246&lt;&gt;"",B246&lt;&gt;0,C246&lt;&gt;""),(C246-B246)/B246*100,"")</f>
        <v/>
      </c>
      <c r="F246">
        <f>IF(ISNUMBER(E246),100-ABS(E246),"")</f>
        <v/>
      </c>
    </row>
    <row r="247">
      <c r="D247">
        <f>IF(AND(B247&lt;&gt;"",C247&lt;&gt;""),C247-B247,"")</f>
        <v/>
      </c>
      <c r="E247">
        <f>IF(AND(B247&lt;&gt;"",B247&lt;&gt;0,C247&lt;&gt;""),(C247-B247)/B247*100,"")</f>
        <v/>
      </c>
      <c r="F247">
        <f>IF(ISNUMBER(E247),100-ABS(E247),"")</f>
        <v/>
      </c>
    </row>
    <row r="248">
      <c r="D248">
        <f>IF(AND(B248&lt;&gt;"",C248&lt;&gt;""),C248-B248,"")</f>
        <v/>
      </c>
      <c r="E248">
        <f>IF(AND(B248&lt;&gt;"",B248&lt;&gt;0,C248&lt;&gt;""),(C248-B248)/B248*100,"")</f>
        <v/>
      </c>
      <c r="F248">
        <f>IF(ISNUMBER(E248),100-ABS(E248),"")</f>
        <v/>
      </c>
    </row>
    <row r="249">
      <c r="D249">
        <f>IF(AND(B249&lt;&gt;"",C249&lt;&gt;""),C249-B249,"")</f>
        <v/>
      </c>
      <c r="E249">
        <f>IF(AND(B249&lt;&gt;"",B249&lt;&gt;0,C249&lt;&gt;""),(C249-B249)/B249*100,"")</f>
        <v/>
      </c>
      <c r="F249">
        <f>IF(ISNUMBER(E249),100-ABS(E249),"")</f>
        <v/>
      </c>
    </row>
    <row r="250">
      <c r="D250">
        <f>IF(AND(B250&lt;&gt;"",C250&lt;&gt;""),C250-B250,"")</f>
        <v/>
      </c>
      <c r="E250">
        <f>IF(AND(B250&lt;&gt;"",B250&lt;&gt;0,C250&lt;&gt;""),(C250-B250)/B250*100,"")</f>
        <v/>
      </c>
      <c r="F250">
        <f>IF(ISNUMBER(E250),100-ABS(E250),"")</f>
        <v/>
      </c>
    </row>
    <row r="251">
      <c r="D251">
        <f>IF(AND(B251&lt;&gt;"",C251&lt;&gt;""),C251-B251,"")</f>
        <v/>
      </c>
      <c r="E251">
        <f>IF(AND(B251&lt;&gt;"",B251&lt;&gt;0,C251&lt;&gt;""),(C251-B251)/B251*100,"")</f>
        <v/>
      </c>
      <c r="F251">
        <f>IF(ISNUMBER(E251),100-ABS(E251),"")</f>
        <v/>
      </c>
    </row>
    <row r="252">
      <c r="D252">
        <f>IF(AND(B252&lt;&gt;"",C252&lt;&gt;""),C252-B252,"")</f>
        <v/>
      </c>
      <c r="E252">
        <f>IF(AND(B252&lt;&gt;"",B252&lt;&gt;0,C252&lt;&gt;""),(C252-B252)/B252*100,"")</f>
        <v/>
      </c>
      <c r="F252">
        <f>IF(ISNUMBER(E252),100-ABS(E252),"")</f>
        <v/>
      </c>
    </row>
    <row r="253">
      <c r="D253">
        <f>IF(AND(B253&lt;&gt;"",C253&lt;&gt;""),C253-B253,"")</f>
        <v/>
      </c>
      <c r="E253">
        <f>IF(AND(B253&lt;&gt;"",B253&lt;&gt;0,C253&lt;&gt;""),(C253-B253)/B253*100,"")</f>
        <v/>
      </c>
      <c r="F253">
        <f>IF(ISNUMBER(E253),100-ABS(E253),"")</f>
        <v/>
      </c>
    </row>
    <row r="254">
      <c r="D254">
        <f>IF(AND(B254&lt;&gt;"",C254&lt;&gt;""),C254-B254,"")</f>
        <v/>
      </c>
      <c r="E254">
        <f>IF(AND(B254&lt;&gt;"",B254&lt;&gt;0,C254&lt;&gt;""),(C254-B254)/B254*100,"")</f>
        <v/>
      </c>
      <c r="F254">
        <f>IF(ISNUMBER(E254),100-ABS(E254),"")</f>
        <v/>
      </c>
    </row>
    <row r="255">
      <c r="D255">
        <f>IF(AND(B255&lt;&gt;"",C255&lt;&gt;""),C255-B255,"")</f>
        <v/>
      </c>
      <c r="E255">
        <f>IF(AND(B255&lt;&gt;"",B255&lt;&gt;0,C255&lt;&gt;""),(C255-B255)/B255*100,"")</f>
        <v/>
      </c>
      <c r="F255">
        <f>IF(ISNUMBER(E255),100-ABS(E255),"")</f>
        <v/>
      </c>
    </row>
    <row r="256">
      <c r="D256">
        <f>IF(AND(B256&lt;&gt;"",C256&lt;&gt;""),C256-B256,"")</f>
        <v/>
      </c>
      <c r="E256">
        <f>IF(AND(B256&lt;&gt;"",B256&lt;&gt;0,C256&lt;&gt;""),(C256-B256)/B256*100,"")</f>
        <v/>
      </c>
      <c r="F256">
        <f>IF(ISNUMBER(E256),100-ABS(E256),"")</f>
        <v/>
      </c>
    </row>
    <row r="257">
      <c r="D257">
        <f>IF(AND(B257&lt;&gt;"",C257&lt;&gt;""),C257-B257,"")</f>
        <v/>
      </c>
      <c r="E257">
        <f>IF(AND(B257&lt;&gt;"",B257&lt;&gt;0,C257&lt;&gt;""),(C257-B257)/B257*100,"")</f>
        <v/>
      </c>
      <c r="F257">
        <f>IF(ISNUMBER(E257),100-ABS(E257),"")</f>
        <v/>
      </c>
    </row>
    <row r="258">
      <c r="D258">
        <f>IF(AND(B258&lt;&gt;"",C258&lt;&gt;""),C258-B258,"")</f>
        <v/>
      </c>
      <c r="E258">
        <f>IF(AND(B258&lt;&gt;"",B258&lt;&gt;0,C258&lt;&gt;""),(C258-B258)/B258*100,"")</f>
        <v/>
      </c>
      <c r="F258">
        <f>IF(ISNUMBER(E258),100-ABS(E258),"")</f>
        <v/>
      </c>
    </row>
    <row r="259">
      <c r="D259">
        <f>IF(AND(B259&lt;&gt;"",C259&lt;&gt;""),C259-B259,"")</f>
        <v/>
      </c>
      <c r="E259">
        <f>IF(AND(B259&lt;&gt;"",B259&lt;&gt;0,C259&lt;&gt;""),(C259-B259)/B259*100,"")</f>
        <v/>
      </c>
      <c r="F259">
        <f>IF(ISNUMBER(E259),100-ABS(E259),"")</f>
        <v/>
      </c>
    </row>
    <row r="260">
      <c r="D260">
        <f>IF(AND(B260&lt;&gt;"",C260&lt;&gt;""),C260-B260,"")</f>
        <v/>
      </c>
      <c r="E260">
        <f>IF(AND(B260&lt;&gt;"",B260&lt;&gt;0,C260&lt;&gt;""),(C260-B260)/B260*100,"")</f>
        <v/>
      </c>
      <c r="F260">
        <f>IF(ISNUMBER(E260),100-ABS(E260),"")</f>
        <v/>
      </c>
    </row>
    <row r="261">
      <c r="D261">
        <f>IF(AND(B261&lt;&gt;"",C261&lt;&gt;""),C261-B261,"")</f>
        <v/>
      </c>
      <c r="E261">
        <f>IF(AND(B261&lt;&gt;"",B261&lt;&gt;0,C261&lt;&gt;""),(C261-B261)/B261*100,"")</f>
        <v/>
      </c>
      <c r="F261">
        <f>IF(ISNUMBER(E261),100-ABS(E261),"")</f>
        <v/>
      </c>
    </row>
    <row r="262">
      <c r="D262">
        <f>IF(AND(B262&lt;&gt;"",C262&lt;&gt;""),C262-B262,"")</f>
        <v/>
      </c>
      <c r="E262">
        <f>IF(AND(B262&lt;&gt;"",B262&lt;&gt;0,C262&lt;&gt;""),(C262-B262)/B262*100,"")</f>
        <v/>
      </c>
      <c r="F262">
        <f>IF(ISNUMBER(E262),100-ABS(E262),"")</f>
        <v/>
      </c>
    </row>
    <row r="263">
      <c r="D263">
        <f>IF(AND(B263&lt;&gt;"",C263&lt;&gt;""),C263-B263,"")</f>
        <v/>
      </c>
      <c r="E263">
        <f>IF(AND(B263&lt;&gt;"",B263&lt;&gt;0,C263&lt;&gt;""),(C263-B263)/B263*100,"")</f>
        <v/>
      </c>
      <c r="F263">
        <f>IF(ISNUMBER(E263),100-ABS(E263),"")</f>
        <v/>
      </c>
    </row>
    <row r="264">
      <c r="D264">
        <f>IF(AND(B264&lt;&gt;"",C264&lt;&gt;""),C264-B264,"")</f>
        <v/>
      </c>
      <c r="E264">
        <f>IF(AND(B264&lt;&gt;"",B264&lt;&gt;0,C264&lt;&gt;""),(C264-B264)/B264*100,"")</f>
        <v/>
      </c>
      <c r="F264">
        <f>IF(ISNUMBER(E264),100-ABS(E264),"")</f>
        <v/>
      </c>
    </row>
    <row r="265">
      <c r="D265">
        <f>IF(AND(B265&lt;&gt;"",C265&lt;&gt;""),C265-B265,"")</f>
        <v/>
      </c>
      <c r="E265">
        <f>IF(AND(B265&lt;&gt;"",B265&lt;&gt;0,C265&lt;&gt;""),(C265-B265)/B265*100,"")</f>
        <v/>
      </c>
      <c r="F265">
        <f>IF(ISNUMBER(E265),100-ABS(E265),"")</f>
        <v/>
      </c>
    </row>
    <row r="266">
      <c r="D266">
        <f>IF(AND(B266&lt;&gt;"",C266&lt;&gt;""),C266-B266,"")</f>
        <v/>
      </c>
      <c r="E266">
        <f>IF(AND(B266&lt;&gt;"",B266&lt;&gt;0,C266&lt;&gt;""),(C266-B266)/B266*100,"")</f>
        <v/>
      </c>
      <c r="F266">
        <f>IF(ISNUMBER(E266),100-ABS(E266),"")</f>
        <v/>
      </c>
    </row>
    <row r="267">
      <c r="D267">
        <f>IF(AND(B267&lt;&gt;"",C267&lt;&gt;""),C267-B267,"")</f>
        <v/>
      </c>
      <c r="E267">
        <f>IF(AND(B267&lt;&gt;"",B267&lt;&gt;0,C267&lt;&gt;""),(C267-B267)/B267*100,"")</f>
        <v/>
      </c>
      <c r="F267">
        <f>IF(ISNUMBER(E267),100-ABS(E267),"")</f>
        <v/>
      </c>
    </row>
    <row r="268">
      <c r="D268">
        <f>IF(AND(B268&lt;&gt;"",C268&lt;&gt;""),C268-B268,"")</f>
        <v/>
      </c>
      <c r="E268">
        <f>IF(AND(B268&lt;&gt;"",B268&lt;&gt;0,C268&lt;&gt;""),(C268-B268)/B268*100,"")</f>
        <v/>
      </c>
      <c r="F268">
        <f>IF(ISNUMBER(E268),100-ABS(E268),"")</f>
        <v/>
      </c>
    </row>
    <row r="269">
      <c r="D269">
        <f>IF(AND(B269&lt;&gt;"",C269&lt;&gt;""),C269-B269,"")</f>
        <v/>
      </c>
      <c r="E269">
        <f>IF(AND(B269&lt;&gt;"",B269&lt;&gt;0,C269&lt;&gt;""),(C269-B269)/B269*100,"")</f>
        <v/>
      </c>
      <c r="F269">
        <f>IF(ISNUMBER(E269),100-ABS(E269),"")</f>
        <v/>
      </c>
    </row>
    <row r="270">
      <c r="D270">
        <f>IF(AND(B270&lt;&gt;"",C270&lt;&gt;""),C270-B270,"")</f>
        <v/>
      </c>
      <c r="E270">
        <f>IF(AND(B270&lt;&gt;"",B270&lt;&gt;0,C270&lt;&gt;""),(C270-B270)/B270*100,"")</f>
        <v/>
      </c>
      <c r="F270">
        <f>IF(ISNUMBER(E270),100-ABS(E270),"")</f>
        <v/>
      </c>
    </row>
    <row r="271">
      <c r="D271">
        <f>IF(AND(B271&lt;&gt;"",C271&lt;&gt;""),C271-B271,"")</f>
        <v/>
      </c>
      <c r="E271">
        <f>IF(AND(B271&lt;&gt;"",B271&lt;&gt;0,C271&lt;&gt;""),(C271-B271)/B271*100,"")</f>
        <v/>
      </c>
      <c r="F271">
        <f>IF(ISNUMBER(E271),100-ABS(E271),"")</f>
        <v/>
      </c>
    </row>
    <row r="272">
      <c r="D272">
        <f>IF(AND(B272&lt;&gt;"",C272&lt;&gt;""),C272-B272,"")</f>
        <v/>
      </c>
      <c r="E272">
        <f>IF(AND(B272&lt;&gt;"",B272&lt;&gt;0,C272&lt;&gt;""),(C272-B272)/B272*100,"")</f>
        <v/>
      </c>
      <c r="F272">
        <f>IF(ISNUMBER(E272),100-ABS(E272),"")</f>
        <v/>
      </c>
    </row>
    <row r="273">
      <c r="D273">
        <f>IF(AND(B273&lt;&gt;"",C273&lt;&gt;""),C273-B273,"")</f>
        <v/>
      </c>
      <c r="E273">
        <f>IF(AND(B273&lt;&gt;"",B273&lt;&gt;0,C273&lt;&gt;""),(C273-B273)/B273*100,"")</f>
        <v/>
      </c>
      <c r="F273">
        <f>IF(ISNUMBER(E273),100-ABS(E273),"")</f>
        <v/>
      </c>
    </row>
    <row r="274">
      <c r="D274">
        <f>IF(AND(B274&lt;&gt;"",C274&lt;&gt;""),C274-B274,"")</f>
        <v/>
      </c>
      <c r="E274">
        <f>IF(AND(B274&lt;&gt;"",B274&lt;&gt;0,C274&lt;&gt;""),(C274-B274)/B274*100,"")</f>
        <v/>
      </c>
      <c r="F274">
        <f>IF(ISNUMBER(E274),100-ABS(E274),"")</f>
        <v/>
      </c>
    </row>
    <row r="275">
      <c r="D275">
        <f>IF(AND(B275&lt;&gt;"",C275&lt;&gt;""),C275-B275,"")</f>
        <v/>
      </c>
      <c r="E275">
        <f>IF(AND(B275&lt;&gt;"",B275&lt;&gt;0,C275&lt;&gt;""),(C275-B275)/B275*100,"")</f>
        <v/>
      </c>
      <c r="F275">
        <f>IF(ISNUMBER(E275),100-ABS(E275),"")</f>
        <v/>
      </c>
    </row>
    <row r="276">
      <c r="D276">
        <f>IF(AND(B276&lt;&gt;"",C276&lt;&gt;""),C276-B276,"")</f>
        <v/>
      </c>
      <c r="E276">
        <f>IF(AND(B276&lt;&gt;"",B276&lt;&gt;0,C276&lt;&gt;""),(C276-B276)/B276*100,"")</f>
        <v/>
      </c>
      <c r="F276">
        <f>IF(ISNUMBER(E276),100-ABS(E276),"")</f>
        <v/>
      </c>
    </row>
    <row r="277">
      <c r="D277">
        <f>IF(AND(B277&lt;&gt;"",C277&lt;&gt;""),C277-B277,"")</f>
        <v/>
      </c>
      <c r="E277">
        <f>IF(AND(B277&lt;&gt;"",B277&lt;&gt;0,C277&lt;&gt;""),(C277-B277)/B277*100,"")</f>
        <v/>
      </c>
      <c r="F277">
        <f>IF(ISNUMBER(E277),100-ABS(E277),"")</f>
        <v/>
      </c>
    </row>
    <row r="278">
      <c r="D278">
        <f>IF(AND(B278&lt;&gt;"",C278&lt;&gt;""),C278-B278,"")</f>
        <v/>
      </c>
      <c r="E278">
        <f>IF(AND(B278&lt;&gt;"",B278&lt;&gt;0,C278&lt;&gt;""),(C278-B278)/B278*100,"")</f>
        <v/>
      </c>
      <c r="F278">
        <f>IF(ISNUMBER(E278),100-ABS(E278),"")</f>
        <v/>
      </c>
    </row>
    <row r="279">
      <c r="D279">
        <f>IF(AND(B279&lt;&gt;"",C279&lt;&gt;""),C279-B279,"")</f>
        <v/>
      </c>
      <c r="E279">
        <f>IF(AND(B279&lt;&gt;"",B279&lt;&gt;0,C279&lt;&gt;""),(C279-B279)/B279*100,"")</f>
        <v/>
      </c>
      <c r="F279">
        <f>IF(ISNUMBER(E279),100-ABS(E279),"")</f>
        <v/>
      </c>
    </row>
    <row r="280">
      <c r="D280">
        <f>IF(AND(B280&lt;&gt;"",C280&lt;&gt;""),C280-B280,"")</f>
        <v/>
      </c>
      <c r="E280">
        <f>IF(AND(B280&lt;&gt;"",B280&lt;&gt;0,C280&lt;&gt;""),(C280-B280)/B280*100,"")</f>
        <v/>
      </c>
      <c r="F280">
        <f>IF(ISNUMBER(E280),100-ABS(E280),"")</f>
        <v/>
      </c>
    </row>
    <row r="281">
      <c r="D281">
        <f>IF(AND(B281&lt;&gt;"",C281&lt;&gt;""),C281-B281,"")</f>
        <v/>
      </c>
      <c r="E281">
        <f>IF(AND(B281&lt;&gt;"",B281&lt;&gt;0,C281&lt;&gt;""),(C281-B281)/B281*100,"")</f>
        <v/>
      </c>
      <c r="F281">
        <f>IF(ISNUMBER(E281),100-ABS(E281),"")</f>
        <v/>
      </c>
    </row>
    <row r="282">
      <c r="D282">
        <f>IF(AND(B282&lt;&gt;"",C282&lt;&gt;""),C282-B282,"")</f>
        <v/>
      </c>
      <c r="E282">
        <f>IF(AND(B282&lt;&gt;"",B282&lt;&gt;0,C282&lt;&gt;""),(C282-B282)/B282*100,"")</f>
        <v/>
      </c>
      <c r="F282">
        <f>IF(ISNUMBER(E282),100-ABS(E282),"")</f>
        <v/>
      </c>
    </row>
    <row r="283">
      <c r="D283">
        <f>IF(AND(B283&lt;&gt;"",C283&lt;&gt;""),C283-B283,"")</f>
        <v/>
      </c>
      <c r="E283">
        <f>IF(AND(B283&lt;&gt;"",B283&lt;&gt;0,C283&lt;&gt;""),(C283-B283)/B283*100,"")</f>
        <v/>
      </c>
      <c r="F283">
        <f>IF(ISNUMBER(E283),100-ABS(E283),"")</f>
        <v/>
      </c>
    </row>
    <row r="284">
      <c r="D284">
        <f>IF(AND(B284&lt;&gt;"",C284&lt;&gt;""),C284-B284,"")</f>
        <v/>
      </c>
      <c r="E284">
        <f>IF(AND(B284&lt;&gt;"",B284&lt;&gt;0,C284&lt;&gt;""),(C284-B284)/B284*100,"")</f>
        <v/>
      </c>
      <c r="F284">
        <f>IF(ISNUMBER(E284),100-ABS(E284),"")</f>
        <v/>
      </c>
    </row>
    <row r="285">
      <c r="D285">
        <f>IF(AND(B285&lt;&gt;"",C285&lt;&gt;""),C285-B285,"")</f>
        <v/>
      </c>
      <c r="E285">
        <f>IF(AND(B285&lt;&gt;"",B285&lt;&gt;0,C285&lt;&gt;""),(C285-B285)/B285*100,"")</f>
        <v/>
      </c>
      <c r="F285">
        <f>IF(ISNUMBER(E285),100-ABS(E285),"")</f>
        <v/>
      </c>
    </row>
    <row r="286">
      <c r="D286">
        <f>IF(AND(B286&lt;&gt;"",C286&lt;&gt;""),C286-B286,"")</f>
        <v/>
      </c>
      <c r="E286">
        <f>IF(AND(B286&lt;&gt;"",B286&lt;&gt;0,C286&lt;&gt;""),(C286-B286)/B286*100,"")</f>
        <v/>
      </c>
      <c r="F286">
        <f>IF(ISNUMBER(E286),100-ABS(E286),"")</f>
        <v/>
      </c>
    </row>
    <row r="287">
      <c r="D287">
        <f>IF(AND(B287&lt;&gt;"",C287&lt;&gt;""),C287-B287,"")</f>
        <v/>
      </c>
      <c r="E287">
        <f>IF(AND(B287&lt;&gt;"",B287&lt;&gt;0,C287&lt;&gt;""),(C287-B287)/B287*100,"")</f>
        <v/>
      </c>
      <c r="F287">
        <f>IF(ISNUMBER(E287),100-ABS(E287),"")</f>
        <v/>
      </c>
    </row>
    <row r="288">
      <c r="D288">
        <f>IF(AND(B288&lt;&gt;"",C288&lt;&gt;""),C288-B288,"")</f>
        <v/>
      </c>
      <c r="E288">
        <f>IF(AND(B288&lt;&gt;"",B288&lt;&gt;0,C288&lt;&gt;""),(C288-B288)/B288*100,"")</f>
        <v/>
      </c>
      <c r="F288">
        <f>IF(ISNUMBER(E288),100-ABS(E288),"")</f>
        <v/>
      </c>
    </row>
    <row r="289">
      <c r="D289">
        <f>IF(AND(B289&lt;&gt;"",C289&lt;&gt;""),C289-B289,"")</f>
        <v/>
      </c>
      <c r="E289">
        <f>IF(AND(B289&lt;&gt;"",B289&lt;&gt;0,C289&lt;&gt;""),(C289-B289)/B289*100,"")</f>
        <v/>
      </c>
      <c r="F289">
        <f>IF(ISNUMBER(E289),100-ABS(E289),"")</f>
        <v/>
      </c>
    </row>
    <row r="290">
      <c r="D290">
        <f>IF(AND(B290&lt;&gt;"",C290&lt;&gt;""),C290-B290,"")</f>
        <v/>
      </c>
      <c r="E290">
        <f>IF(AND(B290&lt;&gt;"",B290&lt;&gt;0,C290&lt;&gt;""),(C290-B290)/B290*100,"")</f>
        <v/>
      </c>
      <c r="F290">
        <f>IF(ISNUMBER(E290),100-ABS(E290),"")</f>
        <v/>
      </c>
    </row>
    <row r="291">
      <c r="D291">
        <f>IF(AND(B291&lt;&gt;"",C291&lt;&gt;""),C291-B291,"")</f>
        <v/>
      </c>
      <c r="E291">
        <f>IF(AND(B291&lt;&gt;"",B291&lt;&gt;0,C291&lt;&gt;""),(C291-B291)/B291*100,"")</f>
        <v/>
      </c>
      <c r="F291">
        <f>IF(ISNUMBER(E291),100-ABS(E291),"")</f>
        <v/>
      </c>
    </row>
    <row r="292">
      <c r="D292">
        <f>IF(AND(B292&lt;&gt;"",C292&lt;&gt;""),C292-B292,"")</f>
        <v/>
      </c>
      <c r="E292">
        <f>IF(AND(B292&lt;&gt;"",B292&lt;&gt;0,C292&lt;&gt;""),(C292-B292)/B292*100,"")</f>
        <v/>
      </c>
      <c r="F292">
        <f>IF(ISNUMBER(E292),100-ABS(E292),"")</f>
        <v/>
      </c>
    </row>
    <row r="293">
      <c r="D293">
        <f>IF(AND(B293&lt;&gt;"",C293&lt;&gt;""),C293-B293,"")</f>
        <v/>
      </c>
      <c r="E293">
        <f>IF(AND(B293&lt;&gt;"",B293&lt;&gt;0,C293&lt;&gt;""),(C293-B293)/B293*100,"")</f>
        <v/>
      </c>
      <c r="F293">
        <f>IF(ISNUMBER(E293),100-ABS(E293),"")</f>
        <v/>
      </c>
    </row>
    <row r="294">
      <c r="D294">
        <f>IF(AND(B294&lt;&gt;"",C294&lt;&gt;""),C294-B294,"")</f>
        <v/>
      </c>
      <c r="E294">
        <f>IF(AND(B294&lt;&gt;"",B294&lt;&gt;0,C294&lt;&gt;""),(C294-B294)/B294*100,"")</f>
        <v/>
      </c>
      <c r="F294">
        <f>IF(ISNUMBER(E294),100-ABS(E294),"")</f>
        <v/>
      </c>
    </row>
    <row r="295">
      <c r="D295">
        <f>IF(AND(B295&lt;&gt;"",C295&lt;&gt;""),C295-B295,"")</f>
        <v/>
      </c>
      <c r="E295">
        <f>IF(AND(B295&lt;&gt;"",B295&lt;&gt;0,C295&lt;&gt;""),(C295-B295)/B295*100,"")</f>
        <v/>
      </c>
      <c r="F295">
        <f>IF(ISNUMBER(E295),100-ABS(E295),"")</f>
        <v/>
      </c>
    </row>
    <row r="296">
      <c r="D296">
        <f>IF(AND(B296&lt;&gt;"",C296&lt;&gt;""),C296-B296,"")</f>
        <v/>
      </c>
      <c r="E296">
        <f>IF(AND(B296&lt;&gt;"",B296&lt;&gt;0,C296&lt;&gt;""),(C296-B296)/B296*100,"")</f>
        <v/>
      </c>
      <c r="F296">
        <f>IF(ISNUMBER(E296),100-ABS(E296),"")</f>
        <v/>
      </c>
    </row>
    <row r="297">
      <c r="D297">
        <f>IF(AND(B297&lt;&gt;"",C297&lt;&gt;""),C297-B297,"")</f>
        <v/>
      </c>
      <c r="E297">
        <f>IF(AND(B297&lt;&gt;"",B297&lt;&gt;0,C297&lt;&gt;""),(C297-B297)/B297*100,"")</f>
        <v/>
      </c>
      <c r="F297">
        <f>IF(ISNUMBER(E297),100-ABS(E297),"")</f>
        <v/>
      </c>
    </row>
    <row r="298">
      <c r="D298">
        <f>IF(AND(B298&lt;&gt;"",C298&lt;&gt;""),C298-B298,"")</f>
        <v/>
      </c>
      <c r="E298">
        <f>IF(AND(B298&lt;&gt;"",B298&lt;&gt;0,C298&lt;&gt;""),(C298-B298)/B298*100,"")</f>
        <v/>
      </c>
      <c r="F298">
        <f>IF(ISNUMBER(E298),100-ABS(E298),"")</f>
        <v/>
      </c>
    </row>
    <row r="299">
      <c r="D299">
        <f>IF(AND(B299&lt;&gt;"",C299&lt;&gt;""),C299-B299,"")</f>
        <v/>
      </c>
      <c r="E299">
        <f>IF(AND(B299&lt;&gt;"",B299&lt;&gt;0,C299&lt;&gt;""),(C299-B299)/B299*100,"")</f>
        <v/>
      </c>
      <c r="F299">
        <f>IF(ISNUMBER(E299),100-ABS(E299),"")</f>
        <v/>
      </c>
    </row>
    <row r="300">
      <c r="D300">
        <f>IF(AND(B300&lt;&gt;"",C300&lt;&gt;""),C300-B300,"")</f>
        <v/>
      </c>
      <c r="E300">
        <f>IF(AND(B300&lt;&gt;"",B300&lt;&gt;0,C300&lt;&gt;""),(C300-B300)/B300*100,"")</f>
        <v/>
      </c>
      <c r="F300">
        <f>IF(ISNUMBER(E300),100-ABS(E300),"")</f>
        <v/>
      </c>
    </row>
  </sheetData>
  <autoFilter ref="A1:G1"/>
  <conditionalFormatting sqref="E2:E300">
    <cfRule type="expression" priority="1" dxfId="0">
      <formula>AND(ISNUMBER($E2),$E2&gt;20)</formula>
    </cfRule>
    <cfRule type="expression" priority="2" dxfId="1">
      <formula>AND(ISNUMBER($E2),$E2&lt;-20)</formula>
    </cfRule>
    <cfRule type="expression" priority="3" dxfId="2">
      <formula>AND(ISNUMBER($E2),$E2&gt;=-10,$E2&lt;=10)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4" max="4"/>
    <col width="14" customWidth="1" min="5" max="5"/>
    <col width="14" customWidth="1" min="6" max="6"/>
    <col width="22" customWidth="1" min="8" max="8"/>
    <col width="12" customWidth="1" min="9" max="9"/>
  </cols>
  <sheetData>
    <row r="1">
      <c r="A1" s="2" t="inlineStr">
        <is>
          <t>Análises Globais de Estimativas</t>
        </is>
      </c>
    </row>
    <row r="2">
      <c r="A2" s="3" t="inlineStr">
        <is>
          <t>Indicadores (KPIs)</t>
        </is>
      </c>
      <c r="D2" s="3" t="inlineStr">
        <is>
          <t>Precisão por Projeto</t>
        </is>
      </c>
      <c r="H2" s="3" t="inlineStr">
        <is>
          <t>Comparação entre Áreas/Equipes</t>
        </is>
      </c>
    </row>
    <row r="3">
      <c r="A3" s="4" t="inlineStr">
        <is>
          <t>Total de Projetos</t>
        </is>
      </c>
      <c r="B3">
        <f>COUNTA(Projetos!A2:A300)</f>
        <v/>
      </c>
      <c r="D3" s="4" t="inlineStr">
        <is>
          <t>Projeto</t>
        </is>
      </c>
      <c r="E3" s="4" t="inlineStr">
        <is>
          <t>Desvio (%)</t>
        </is>
      </c>
      <c r="F3" s="4" t="inlineStr">
        <is>
          <t>Precisão (%)</t>
        </is>
      </c>
      <c r="H3" s="4" t="inlineStr">
        <is>
          <t>Área</t>
        </is>
      </c>
      <c r="I3" s="4" t="inlineStr">
        <is>
          <t>Quantidade</t>
        </is>
      </c>
    </row>
    <row r="4">
      <c r="A4" s="4" t="inlineStr">
        <is>
          <t>Desvio Médio (%)</t>
        </is>
      </c>
      <c r="B4">
        <f>IFERROR(AVERAGE(Comparativos!E2:E300),"")</f>
        <v/>
      </c>
      <c r="E4">
        <f>IF($D4="","",IFERROR(AVERAGEIF(Comparativos!A2:A300,$D4,Comparativos!E2:E300),""))</f>
        <v/>
      </c>
      <c r="F4">
        <f>IF($D4="","",IFERROR(AVERAGEIF(Comparativos!A2:A300,$D4,Comparativos!F2:F300),""))</f>
        <v/>
      </c>
      <c r="I4">
        <f>IF($H4="","",COUNTIF(Projetos!C2:C300,$H4))</f>
        <v/>
      </c>
    </row>
    <row r="5">
      <c r="A5" s="4" t="inlineStr">
        <is>
          <t>Precisão Geral (%)</t>
        </is>
      </c>
      <c r="B5">
        <f>IFERROR(AVERAGE(Comparativos!F2:F300),"")</f>
        <v/>
      </c>
      <c r="E5">
        <f>IF($D5="","",IFERROR(AVERAGEIF(Comparativos!A2:A300,$D5,Comparativos!E2:E300),""))</f>
        <v/>
      </c>
      <c r="F5">
        <f>IF($D5="","",IFERROR(AVERAGEIF(Comparativos!A2:A300,$D5,Comparativos!F2:F300),""))</f>
        <v/>
      </c>
      <c r="I5">
        <f>IF($H5="","",COUNTIF(Projetos!C2:C300,$H5))</f>
        <v/>
      </c>
    </row>
    <row r="6">
      <c r="A6" s="4" t="inlineStr">
        <is>
          <t>Projetos Concluídos</t>
        </is>
      </c>
      <c r="B6">
        <f>COUNTIF(Projetos!E2:E300,"Concluído")</f>
        <v/>
      </c>
      <c r="E6">
        <f>IF($D6="","",IFERROR(AVERAGEIF(Comparativos!A2:A300,$D6,Comparativos!E2:E300),""))</f>
        <v/>
      </c>
      <c r="F6">
        <f>IF($D6="","",IFERROR(AVERAGEIF(Comparativos!A2:A300,$D6,Comparativos!F2:F300),""))</f>
        <v/>
      </c>
      <c r="I6">
        <f>IF($H6="","",COUNTIF(Projetos!C2:C300,$H6))</f>
        <v/>
      </c>
    </row>
    <row r="7">
      <c r="A7" s="4" t="inlineStr">
        <is>
          <t>Confiança Média (%)</t>
        </is>
      </c>
      <c r="B7">
        <f>IFERROR(AVERAGE(Estimativas!F2:F300),"")</f>
        <v/>
      </c>
      <c r="E7">
        <f>IF($D7="","",IFERROR(AVERAGEIF(Comparativos!A2:A300,$D7,Comparativos!E2:E300),""))</f>
        <v/>
      </c>
      <c r="F7">
        <f>IF($D7="","",IFERROR(AVERAGEIF(Comparativos!A2:A300,$D7,Comparativos!F2:F300),""))</f>
        <v/>
      </c>
      <c r="I7">
        <f>IF($H7="","",COUNTIF(Projetos!C2:C300,$H7))</f>
        <v/>
      </c>
    </row>
    <row r="8">
      <c r="E8">
        <f>IF($D8="","",IFERROR(AVERAGEIF(Comparativos!A2:A300,$D8,Comparativos!E2:E300),""))</f>
        <v/>
      </c>
      <c r="F8">
        <f>IF($D8="","",IFERROR(AVERAGEIF(Comparativos!A2:A300,$D8,Comparativos!F2:F300),""))</f>
        <v/>
      </c>
      <c r="I8">
        <f>IF($H8="","",COUNTIF(Projetos!C2:C300,$H8))</f>
        <v/>
      </c>
    </row>
    <row r="9">
      <c r="E9">
        <f>IF($D9="","",IFERROR(AVERAGEIF(Comparativos!A2:A300,$D9,Comparativos!E2:E300),""))</f>
        <v/>
      </c>
      <c r="F9">
        <f>IF($D9="","",IFERROR(AVERAGEIF(Comparativos!A2:A300,$D9,Comparativos!F2:F300),""))</f>
        <v/>
      </c>
      <c r="I9">
        <f>IF($H9="","",COUNTIF(Projetos!C2:C300,$H9))</f>
        <v/>
      </c>
    </row>
    <row r="10">
      <c r="E10">
        <f>IF($D10="","",IFERROR(AVERAGEIF(Comparativos!A2:A300,$D10,Comparativos!E2:E300),""))</f>
        <v/>
      </c>
      <c r="F10">
        <f>IF($D10="","",IFERROR(AVERAGEIF(Comparativos!A2:A300,$D10,Comparativos!F2:F300),""))</f>
        <v/>
      </c>
      <c r="I10">
        <f>IF($H10="","",COUNTIF(Projetos!C2:C300,$H10))</f>
        <v/>
      </c>
    </row>
    <row r="11">
      <c r="E11">
        <f>IF($D11="","",IFERROR(AVERAGEIF(Comparativos!A2:A300,$D11,Comparativos!E2:E300),""))</f>
        <v/>
      </c>
      <c r="F11">
        <f>IF($D11="","",IFERROR(AVERAGEIF(Comparativos!A2:A300,$D11,Comparativos!F2:F300),""))</f>
        <v/>
      </c>
      <c r="I11">
        <f>IF($H11="","",COUNTIF(Projetos!C2:C300,$H11))</f>
        <v/>
      </c>
    </row>
    <row r="12">
      <c r="E12">
        <f>IF($D12="","",IFERROR(AVERAGEIF(Comparativos!A2:A300,$D12,Comparativos!E2:E300),""))</f>
        <v/>
      </c>
      <c r="F12">
        <f>IF($D12="","",IFERROR(AVERAGEIF(Comparativos!A2:A300,$D12,Comparativos!F2:F300),""))</f>
        <v/>
      </c>
      <c r="I12">
        <f>IF($H12="","",COUNTIF(Projetos!C2:C300,$H12))</f>
        <v/>
      </c>
    </row>
    <row r="13">
      <c r="E13">
        <f>IF($D13="","",IFERROR(AVERAGEIF(Comparativos!A2:A300,$D13,Comparativos!E2:E300),""))</f>
        <v/>
      </c>
      <c r="F13">
        <f>IF($D13="","",IFERROR(AVERAGEIF(Comparativos!A2:A300,$D13,Comparativos!F2:F300),""))</f>
        <v/>
      </c>
      <c r="I13">
        <f>IF($H13="","",COUNTIF(Projetos!C2:C300,$H13))</f>
        <v/>
      </c>
    </row>
    <row r="14">
      <c r="E14">
        <f>IF($D14="","",IFERROR(AVERAGEIF(Comparativos!A2:A300,$D14,Comparativos!E2:E300),""))</f>
        <v/>
      </c>
      <c r="F14">
        <f>IF($D14="","",IFERROR(AVERAGEIF(Comparativos!A2:A300,$D14,Comparativos!F2:F300),""))</f>
        <v/>
      </c>
    </row>
    <row r="15">
      <c r="E15">
        <f>IF($D15="","",IFERROR(AVERAGEIF(Comparativos!A2:A300,$D15,Comparativos!E2:E300),""))</f>
        <v/>
      </c>
      <c r="F15">
        <f>IF($D15="","",IFERROR(AVERAGEIF(Comparativos!A2:A300,$D15,Comparativos!F2:F300),""))</f>
        <v/>
      </c>
    </row>
    <row r="16">
      <c r="E16">
        <f>IF($D16="","",IFERROR(AVERAGEIF(Comparativos!A2:A300,$D16,Comparativos!E2:E300),""))</f>
        <v/>
      </c>
      <c r="F16">
        <f>IF($D16="","",IFERROR(AVERAGEIF(Comparativos!A2:A300,$D16,Comparativos!F2:F300),""))</f>
        <v/>
      </c>
    </row>
    <row r="17">
      <c r="E17">
        <f>IF($D17="","",IFERROR(AVERAGEIF(Comparativos!A2:A300,$D17,Comparativos!E2:E300),""))</f>
        <v/>
      </c>
      <c r="F17">
        <f>IF($D17="","",IFERROR(AVERAGEIF(Comparativos!A2:A300,$D17,Comparativos!F2:F300),""))</f>
        <v/>
      </c>
    </row>
    <row r="18">
      <c r="E18">
        <f>IF($D18="","",IFERROR(AVERAGEIF(Comparativos!A2:A300,$D18,Comparativos!E2:E300),""))</f>
        <v/>
      </c>
      <c r="F18">
        <f>IF($D18="","",IFERROR(AVERAGEIF(Comparativos!A2:A300,$D18,Comparativos!F2:F300),""))</f>
        <v/>
      </c>
    </row>
    <row r="22">
      <c r="A22" s="3" t="inlineStr">
        <is>
          <t>Evolução da Precisão (Mensal)</t>
        </is>
      </c>
    </row>
    <row r="23">
      <c r="A23" s="4" t="inlineStr">
        <is>
          <t>Mês</t>
        </is>
      </c>
      <c r="B23" s="4" t="inlineStr">
        <is>
          <t>Precisão (%)</t>
        </is>
      </c>
    </row>
    <row r="24">
      <c r="A24" t="inlineStr">
        <is>
          <t>2026-01</t>
        </is>
      </c>
      <c r="B24">
        <f>IFERROR(AVERAGEIFS(Comparativos!$F$2:$F$300,Comparativos!$G$2:$G$300,"&gt;="&amp;DATE(2026,1,1),Comparativos!$G$2:$G$300,"&lt;="&amp;DATE(2026,1,DAY(EOMONTH(DATE(2026,1,1),0)))),"")</f>
        <v/>
      </c>
    </row>
    <row r="25">
      <c r="A25" t="inlineStr">
        <is>
          <t>2026-02</t>
        </is>
      </c>
      <c r="B25">
        <f>IFERROR(AVERAGEIFS(Comparativos!$F$2:$F$300,Comparativos!$G$2:$G$300,"&gt;="&amp;DATE(2026,2,1),Comparativos!$G$2:$G$300,"&lt;="&amp;DATE(2026,2,DAY(EOMONTH(DATE(2026,2,1),0)))),"")</f>
        <v/>
      </c>
    </row>
    <row r="26">
      <c r="A26" t="inlineStr">
        <is>
          <t>2026-03</t>
        </is>
      </c>
      <c r="B26">
        <f>IFERROR(AVERAGEIFS(Comparativos!$F$2:$F$300,Comparativos!$G$2:$G$300,"&gt;="&amp;DATE(2026,3,1),Comparativos!$G$2:$G$300,"&lt;="&amp;DATE(2026,3,DAY(EOMONTH(DATE(2026,3,1),0)))),"")</f>
        <v/>
      </c>
    </row>
    <row r="27">
      <c r="A27" t="inlineStr">
        <is>
          <t>2026-04</t>
        </is>
      </c>
      <c r="B27">
        <f>IFERROR(AVERAGEIFS(Comparativos!$F$2:$F$300,Comparativos!$G$2:$G$300,"&gt;="&amp;DATE(2026,4,1),Comparativos!$G$2:$G$300,"&lt;="&amp;DATE(2026,4,DAY(EOMONTH(DATE(2026,4,1),0)))),"")</f>
        <v/>
      </c>
    </row>
    <row r="28">
      <c r="A28" t="inlineStr">
        <is>
          <t>2026-05</t>
        </is>
      </c>
      <c r="B28">
        <f>IFERROR(AVERAGEIFS(Comparativos!$F$2:$F$300,Comparativos!$G$2:$G$300,"&gt;="&amp;DATE(2026,5,1),Comparativos!$G$2:$G$300,"&lt;="&amp;DATE(2026,5,DAY(EOMONTH(DATE(2026,5,1),0)))),"")</f>
        <v/>
      </c>
    </row>
    <row r="29">
      <c r="A29" t="inlineStr">
        <is>
          <t>2026-06</t>
        </is>
      </c>
      <c r="B29">
        <f>IFERROR(AVERAGEIFS(Comparativos!$F$2:$F$300,Comparativos!$G$2:$G$300,"&gt;="&amp;DATE(2026,6,1),Comparativos!$G$2:$G$300,"&lt;="&amp;DATE(2026,6,DAY(EOMONTH(DATE(2026,6,1),0)))),"")</f>
        <v/>
      </c>
    </row>
    <row r="30">
      <c r="A30" t="inlineStr">
        <is>
          <t>2026-07</t>
        </is>
      </c>
      <c r="B30">
        <f>IFERROR(AVERAGEIFS(Comparativos!$F$2:$F$300,Comparativos!$G$2:$G$300,"&gt;="&amp;DATE(2026,7,1),Comparativos!$G$2:$G$300,"&lt;="&amp;DATE(2026,7,DAY(EOMONTH(DATE(2026,7,1),0)))),"")</f>
        <v/>
      </c>
    </row>
    <row r="31">
      <c r="A31" t="inlineStr">
        <is>
          <t>2026-08</t>
        </is>
      </c>
      <c r="B31">
        <f>IFERROR(AVERAGEIFS(Comparativos!$F$2:$F$300,Comparativos!$G$2:$G$300,"&gt;="&amp;DATE(2026,8,1),Comparativos!$G$2:$G$300,"&lt;="&amp;DATE(2026,8,DAY(EOMONTH(DATE(2026,8,1),0)))),"")</f>
        <v/>
      </c>
    </row>
    <row r="32">
      <c r="A32" t="inlineStr">
        <is>
          <t>2026-09</t>
        </is>
      </c>
      <c r="B32">
        <f>IFERROR(AVERAGEIFS(Comparativos!$F$2:$F$300,Comparativos!$G$2:$G$300,"&gt;="&amp;DATE(2026,9,1),Comparativos!$G$2:$G$300,"&lt;="&amp;DATE(2026,9,DAY(EOMONTH(DATE(2026,9,1),0)))),"")</f>
        <v/>
      </c>
    </row>
    <row r="33">
      <c r="A33" t="inlineStr">
        <is>
          <t>2026-10</t>
        </is>
      </c>
      <c r="B33">
        <f>IFERROR(AVERAGEIFS(Comparativos!$F$2:$F$300,Comparativos!$G$2:$G$300,"&gt;="&amp;DATE(2026,10,1),Comparativos!$G$2:$G$300,"&lt;="&amp;DATE(2026,10,DAY(EOMONTH(DATE(2026,10,1),0)))),"")</f>
        <v/>
      </c>
    </row>
    <row r="34">
      <c r="A34" t="inlineStr">
        <is>
          <t>2026-11</t>
        </is>
      </c>
      <c r="B34">
        <f>IFERROR(AVERAGEIFS(Comparativos!$F$2:$F$300,Comparativos!$G$2:$G$300,"&gt;="&amp;DATE(2026,11,1),Comparativos!$G$2:$G$300,"&lt;="&amp;DATE(2026,11,DAY(EOMONTH(DATE(2026,11,1),0)))),"")</f>
        <v/>
      </c>
    </row>
    <row r="35">
      <c r="A35" t="inlineStr">
        <is>
          <t>2026-12</t>
        </is>
      </c>
      <c r="B35">
        <f>IFERROR(AVERAGEIFS(Comparativos!$F$2:$F$300,Comparativos!$G$2:$G$300,"&gt;="&amp;DATE(2026,12,1),Comparativos!$G$2:$G$300,"&lt;="&amp;DATE(2026,12,DAY(EOMONTH(DATE(2026,12,1),0)))),"")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5" t="inlineStr">
        <is>
          <t>Painel Global de Estimativas</t>
        </is>
      </c>
    </row>
    <row r="3">
      <c r="A3" s="3" t="inlineStr">
        <is>
          <t>Indicadores (KPIs)</t>
        </is>
      </c>
    </row>
    <row r="4">
      <c r="A4" s="4" t="inlineStr">
        <is>
          <t>Total de Projetos</t>
        </is>
      </c>
      <c r="B4">
        <f>Analises!B3</f>
        <v/>
      </c>
    </row>
    <row r="5">
      <c r="A5" s="4" t="inlineStr">
        <is>
          <t>Desvio Médio (%)</t>
        </is>
      </c>
      <c r="B5">
        <f>Analises!B4</f>
        <v/>
      </c>
    </row>
    <row r="6">
      <c r="A6" s="4" t="inlineStr">
        <is>
          <t>Precisão Geral (%)</t>
        </is>
      </c>
      <c r="B6">
        <f>Analises!B5</f>
        <v/>
      </c>
    </row>
    <row r="7">
      <c r="A7" s="4" t="inlineStr">
        <is>
          <t>Confiança Média (%)</t>
        </is>
      </c>
      <c r="B7">
        <f>Analises!B7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6" t="inlineStr">
        <is>
          <t>Status</t>
        </is>
      </c>
      <c r="B1" s="6" t="inlineStr">
        <is>
          <t>Técnica</t>
        </is>
      </c>
      <c r="C1" s="6" t="inlineStr">
        <is>
          <t>Complexidade</t>
        </is>
      </c>
    </row>
    <row r="2">
      <c r="A2" t="inlineStr">
        <is>
          <t>Planejado</t>
        </is>
      </c>
      <c r="B2" t="inlineStr">
        <is>
          <t>PSP</t>
        </is>
      </c>
      <c r="C2" t="inlineStr">
        <is>
          <t>Baixa</t>
        </is>
      </c>
    </row>
    <row r="3">
      <c r="A3" t="inlineStr">
        <is>
          <t>Em Execução</t>
        </is>
      </c>
      <c r="B3" t="inlineStr">
        <is>
          <t>Wideband Delphi</t>
        </is>
      </c>
      <c r="C3" t="inlineStr">
        <is>
          <t>Média</t>
        </is>
      </c>
    </row>
    <row r="4">
      <c r="A4" t="inlineStr">
        <is>
          <t>Concluído</t>
        </is>
      </c>
      <c r="B4" t="inlineStr">
        <is>
          <t>Planning Poker</t>
        </is>
      </c>
      <c r="C4" t="inlineStr">
        <is>
          <t>Alta</t>
        </is>
      </c>
    </row>
    <row r="5">
      <c r="A5" t="inlineStr">
        <is>
          <t>Cancelado</t>
        </is>
      </c>
      <c r="B5" t="inlineStr">
        <is>
          <t>Pontos de Função</t>
        </is>
      </c>
      <c r="C5" t="inlineStr">
        <is>
          <t>Muito Alta</t>
        </is>
      </c>
    </row>
    <row r="6">
      <c r="B6" t="inlineStr">
        <is>
          <t>Análise Histórica</t>
        </is>
      </c>
    </row>
    <row r="7">
      <c r="B7" t="inlineStr">
        <is>
          <t>Estimativa de Três Pontos</t>
        </is>
      </c>
    </row>
    <row r="8">
      <c r="B8" t="inlineStr">
        <is>
          <t>Opinião Especializada</t>
        </is>
      </c>
    </row>
    <row r="9">
      <c r="B9" t="inlineStr">
        <is>
          <t>Outra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2026-06-06T16:54:57Z</dcterms:created>
  <dcterms:modified xsi:type="dcterms:W3CDTF">2026-06-06T16:54:57Z</dcterms:modified>
</cp:coreProperties>
</file>